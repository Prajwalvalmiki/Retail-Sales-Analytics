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13_ncr:1_{F9C676DF-1283-465A-9C8B-0104D1F9E310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RetailSales" sheetId="1" r:id="rId1"/>
    <sheet name="Sales by Category" sheetId="2" r:id="rId2"/>
    <sheet name="Monthly Sales" sheetId="3" r:id="rId3"/>
    <sheet name="Profit Analysis" sheetId="4" r:id="rId4"/>
    <sheet name="Sales by City " sheetId="5" r:id="rId5"/>
    <sheet name="Top 10 Customers by Sales" sheetId="7" r:id="rId6"/>
    <sheet name="Payment mode analysis" sheetId="8" r:id="rId7"/>
    <sheet name="Discount Analysis" sheetId="10" r:id="rId8"/>
  </sheets>
  <definedNames>
    <definedName name="_xlnm._FilterDatabase" localSheetId="0" hidden="1">RetailSales!$A$1:$M$1001</definedName>
  </definedNames>
  <calcPr calcId="191029"/>
  <pivotCaches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</calcChain>
</file>

<file path=xl/sharedStrings.xml><?xml version="1.0" encoding="utf-8"?>
<sst xmlns="http://schemas.openxmlformats.org/spreadsheetml/2006/main" count="8081" uniqueCount="609">
  <si>
    <t>Order ID</t>
  </si>
  <si>
    <t>Order Date</t>
  </si>
  <si>
    <t>Customer Name</t>
  </si>
  <si>
    <t>City</t>
  </si>
  <si>
    <t>State</t>
  </si>
  <si>
    <t>Category</t>
  </si>
  <si>
    <t>Sub Category</t>
  </si>
  <si>
    <t>Product Name</t>
  </si>
  <si>
    <t>Quantity</t>
  </si>
  <si>
    <t>Sales</t>
  </si>
  <si>
    <t>Profit</t>
  </si>
  <si>
    <t>Discount</t>
  </si>
  <si>
    <t>Payment Mode</t>
  </si>
  <si>
    <t>31-Jan-2025</t>
  </si>
  <si>
    <t>Customer 17</t>
  </si>
  <si>
    <t>Pune</t>
  </si>
  <si>
    <t>Maharashtra</t>
  </si>
  <si>
    <t>Electronics</t>
  </si>
  <si>
    <t>Computers</t>
  </si>
  <si>
    <t>Laptop</t>
  </si>
  <si>
    <t>Net Banking</t>
  </si>
  <si>
    <t>14-Feb-2025</t>
  </si>
  <si>
    <t>Customer 31</t>
  </si>
  <si>
    <t>Chennai</t>
  </si>
  <si>
    <t>Tamil Nadu</t>
  </si>
  <si>
    <t>Office Supplies</t>
  </si>
  <si>
    <t>Stationery</t>
  </si>
  <si>
    <t>Marker</t>
  </si>
  <si>
    <t>Debit Card</t>
  </si>
  <si>
    <t>08-Jul-2025</t>
  </si>
  <si>
    <t>Customer 99</t>
  </si>
  <si>
    <t>Furniture</t>
  </si>
  <si>
    <t>Office</t>
  </si>
  <si>
    <t>Desk</t>
  </si>
  <si>
    <t>11-Sep-2025</t>
  </si>
  <si>
    <t>Customer 186</t>
  </si>
  <si>
    <t>Kolkata</t>
  </si>
  <si>
    <t>West Bengal</t>
  </si>
  <si>
    <t>Chairs</t>
  </si>
  <si>
    <t>Chair</t>
  </si>
  <si>
    <t>Credit Card</t>
  </si>
  <si>
    <t>26-Apr-2025</t>
  </si>
  <si>
    <t>Customer 132</t>
  </si>
  <si>
    <t>Audio</t>
  </si>
  <si>
    <t>Headphones</t>
  </si>
  <si>
    <t>Cash</t>
  </si>
  <si>
    <t>18-Aug-2025</t>
  </si>
  <si>
    <t>Customer 183</t>
  </si>
  <si>
    <t>Pen</t>
  </si>
  <si>
    <t>UPI</t>
  </si>
  <si>
    <t>28-Feb-2025</t>
  </si>
  <si>
    <t>Customer 10</t>
  </si>
  <si>
    <t>Ahmedabad</t>
  </si>
  <si>
    <t>Gujarat</t>
  </si>
  <si>
    <t>06-Feb-2025</t>
  </si>
  <si>
    <t>Customer 39</t>
  </si>
  <si>
    <t>Hyderabad</t>
  </si>
  <si>
    <t>Telangana</t>
  </si>
  <si>
    <t>20-Feb-2025</t>
  </si>
  <si>
    <t>Customer 195</t>
  </si>
  <si>
    <t>Bangalore</t>
  </si>
  <si>
    <t>Karnataka</t>
  </si>
  <si>
    <t>25-May-2025</t>
  </si>
  <si>
    <t>Customer 24</t>
  </si>
  <si>
    <t>23-May-2025</t>
  </si>
  <si>
    <t>Customer 41</t>
  </si>
  <si>
    <t>Mumbai</t>
  </si>
  <si>
    <t>11-Oct-2025</t>
  </si>
  <si>
    <t>Customer 79</t>
  </si>
  <si>
    <t>20-Jan-2025</t>
  </si>
  <si>
    <t>Customer 162</t>
  </si>
  <si>
    <t>Notebook</t>
  </si>
  <si>
    <t>29-Mar-2025</t>
  </si>
  <si>
    <t>Customer 185</t>
  </si>
  <si>
    <t>Delhi</t>
  </si>
  <si>
    <t>Accessories</t>
  </si>
  <si>
    <t>Mouse</t>
  </si>
  <si>
    <t>12-Mar-2025</t>
  </si>
  <si>
    <t>Customer 101</t>
  </si>
  <si>
    <t>03-May-2025</t>
  </si>
  <si>
    <t>Customer 13</t>
  </si>
  <si>
    <t>14-Sep-2025</t>
  </si>
  <si>
    <t>Customer 143</t>
  </si>
  <si>
    <t>13-Jan-2025</t>
  </si>
  <si>
    <t>Customer 145</t>
  </si>
  <si>
    <t>16-Dec-2025</t>
  </si>
  <si>
    <t>Customer 122</t>
  </si>
  <si>
    <t>14-Jul-2025</t>
  </si>
  <si>
    <t>Customer 133</t>
  </si>
  <si>
    <t>Tables</t>
  </si>
  <si>
    <t>Table</t>
  </si>
  <si>
    <t>27-Apr-2025</t>
  </si>
  <si>
    <t>Customer 102</t>
  </si>
  <si>
    <t>09-Aug-2025</t>
  </si>
  <si>
    <t>Customer 5</t>
  </si>
  <si>
    <t>Paper</t>
  </si>
  <si>
    <t>Printer Paper</t>
  </si>
  <si>
    <t>22-May-2025</t>
  </si>
  <si>
    <t>Customer 155</t>
  </si>
  <si>
    <t>11-Aug-2025</t>
  </si>
  <si>
    <t>Customer 55</t>
  </si>
  <si>
    <t>03-Jul-2025</t>
  </si>
  <si>
    <t>26-Dec-2025</t>
  </si>
  <si>
    <t>Customer 54</t>
  </si>
  <si>
    <t>21-Jul-2025</t>
  </si>
  <si>
    <t>Customer 136</t>
  </si>
  <si>
    <t>12-Sep-2025</t>
  </si>
  <si>
    <t>Customer 25</t>
  </si>
  <si>
    <t>10-May-2025</t>
  </si>
  <si>
    <t>Customer 147</t>
  </si>
  <si>
    <t>12-Apr-2025</t>
  </si>
  <si>
    <t>Customer 58</t>
  </si>
  <si>
    <t>15-May-2025</t>
  </si>
  <si>
    <t>Customer 2</t>
  </si>
  <si>
    <t>17-Aug-2025</t>
  </si>
  <si>
    <t>Customer 12</t>
  </si>
  <si>
    <t>Keyboard</t>
  </si>
  <si>
    <t>17-Feb-2025</t>
  </si>
  <si>
    <t>Customer 123</t>
  </si>
  <si>
    <t>04-Nov-2025</t>
  </si>
  <si>
    <t>22-Dec-2025</t>
  </si>
  <si>
    <t>Customer 180</t>
  </si>
  <si>
    <t>13-Sep-2025</t>
  </si>
  <si>
    <t>Customer 83</t>
  </si>
  <si>
    <t>Living Room</t>
  </si>
  <si>
    <t>Sofa</t>
  </si>
  <si>
    <t>09-Jun-2025</t>
  </si>
  <si>
    <t>Customer 187</t>
  </si>
  <si>
    <t>12-Nov-2025</t>
  </si>
  <si>
    <t>Customer 135</t>
  </si>
  <si>
    <t>22-Jul-2025</t>
  </si>
  <si>
    <t>16-Jan-2025</t>
  </si>
  <si>
    <t>22-Oct-2025</t>
  </si>
  <si>
    <t>Customer 29</t>
  </si>
  <si>
    <t>06-Jul-2025</t>
  </si>
  <si>
    <t>Customer 87</t>
  </si>
  <si>
    <t>25-Aug-2025</t>
  </si>
  <si>
    <t>Customer 98</t>
  </si>
  <si>
    <t>27-Jan-2025</t>
  </si>
  <si>
    <t>Customer 178</t>
  </si>
  <si>
    <t>02-Jul-2025</t>
  </si>
  <si>
    <t>Customer 57</t>
  </si>
  <si>
    <t>07-Oct-2025</t>
  </si>
  <si>
    <t>26-Sep-2025</t>
  </si>
  <si>
    <t>Customer 56</t>
  </si>
  <si>
    <t>17-Jul-2025</t>
  </si>
  <si>
    <t>Customer 197</t>
  </si>
  <si>
    <t>04-Mar-2025</t>
  </si>
  <si>
    <t>Customer 142</t>
  </si>
  <si>
    <t>09-Mar-2025</t>
  </si>
  <si>
    <t>Customer 116</t>
  </si>
  <si>
    <t>03-Aug-2025</t>
  </si>
  <si>
    <t>Customer 70</t>
  </si>
  <si>
    <t>16-Aug-2025</t>
  </si>
  <si>
    <t>Customer 51</t>
  </si>
  <si>
    <t>29-May-2025</t>
  </si>
  <si>
    <t>Customer 140</t>
  </si>
  <si>
    <t>18-Jun-2025</t>
  </si>
  <si>
    <t>Customer 153</t>
  </si>
  <si>
    <t>07-May-2025</t>
  </si>
  <si>
    <t>Customer 53</t>
  </si>
  <si>
    <t>25-Nov-2025</t>
  </si>
  <si>
    <t>Customer 109</t>
  </si>
  <si>
    <t>23-Apr-2025</t>
  </si>
  <si>
    <t>20-Oct-2025</t>
  </si>
  <si>
    <t>28-Jan-2025</t>
  </si>
  <si>
    <t>Customer 63</t>
  </si>
  <si>
    <t>18-Sep-2025</t>
  </si>
  <si>
    <t>Customer 18</t>
  </si>
  <si>
    <t>Customer 3</t>
  </si>
  <si>
    <t>11-Feb-2025</t>
  </si>
  <si>
    <t>30-Aug-2025</t>
  </si>
  <si>
    <t>Customer 6</t>
  </si>
  <si>
    <t>06-Aug-2025</t>
  </si>
  <si>
    <t>Customer 169</t>
  </si>
  <si>
    <t>04-Jan-2025</t>
  </si>
  <si>
    <t>13-Dec-2025</t>
  </si>
  <si>
    <t>Customer 36</t>
  </si>
  <si>
    <t>30-Jan-2025</t>
  </si>
  <si>
    <t>27-Nov-2025</t>
  </si>
  <si>
    <t>Customer 62</t>
  </si>
  <si>
    <t>18-Feb-2025</t>
  </si>
  <si>
    <t>Customer 159</t>
  </si>
  <si>
    <t>02-Jan-2025</t>
  </si>
  <si>
    <t>Customer 117</t>
  </si>
  <si>
    <t>09-Dec-2025</t>
  </si>
  <si>
    <t>15-Oct-2025</t>
  </si>
  <si>
    <t>Customer 64</t>
  </si>
  <si>
    <t>23-Oct-2025</t>
  </si>
  <si>
    <t>Customer 115</t>
  </si>
  <si>
    <t>20-Sep-2025</t>
  </si>
  <si>
    <t>Customer 11</t>
  </si>
  <si>
    <t>08-Jun-2025</t>
  </si>
  <si>
    <t>Customer 134</t>
  </si>
  <si>
    <t>07-Apr-2025</t>
  </si>
  <si>
    <t>Customer 15</t>
  </si>
  <si>
    <t>30-Jul-2025</t>
  </si>
  <si>
    <t>Customer 90</t>
  </si>
  <si>
    <t>12-May-2025</t>
  </si>
  <si>
    <t>04-Sep-2025</t>
  </si>
  <si>
    <t>15-Jul-2025</t>
  </si>
  <si>
    <t>Customer 22</t>
  </si>
  <si>
    <t>02-Nov-2025</t>
  </si>
  <si>
    <t>Customer 37</t>
  </si>
  <si>
    <t>05-Dec-2025</t>
  </si>
  <si>
    <t>24-Mar-2025</t>
  </si>
  <si>
    <t>Customer 130</t>
  </si>
  <si>
    <t>10-Aug-2025</t>
  </si>
  <si>
    <t>Customer 188</t>
  </si>
  <si>
    <t>05-Mar-2025</t>
  </si>
  <si>
    <t>Customer 97</t>
  </si>
  <si>
    <t>21-Mar-2025</t>
  </si>
  <si>
    <t>Customer 105</t>
  </si>
  <si>
    <t>02-Feb-2025</t>
  </si>
  <si>
    <t>Customer 172</t>
  </si>
  <si>
    <t>06-Apr-2025</t>
  </si>
  <si>
    <t>Customer 157</t>
  </si>
  <si>
    <t>13-Apr-2025</t>
  </si>
  <si>
    <t>23-Jul-2025</t>
  </si>
  <si>
    <t>Customer 128</t>
  </si>
  <si>
    <t>01-Jul-2025</t>
  </si>
  <si>
    <t>19-Mar-2025</t>
  </si>
  <si>
    <t>Customer 65</t>
  </si>
  <si>
    <t>Customer 19</t>
  </si>
  <si>
    <t>27-Aug-2025</t>
  </si>
  <si>
    <t>Customer 108</t>
  </si>
  <si>
    <t>31-Dec-2025</t>
  </si>
  <si>
    <t>21-Oct-2025</t>
  </si>
  <si>
    <t>Customer 194</t>
  </si>
  <si>
    <t>04-Jul-2025</t>
  </si>
  <si>
    <t>16-Feb-2025</t>
  </si>
  <si>
    <t>Customer 43</t>
  </si>
  <si>
    <t>13-Nov-2025</t>
  </si>
  <si>
    <t>Customer 78</t>
  </si>
  <si>
    <t>31-Mar-2025</t>
  </si>
  <si>
    <t>Customer 44</t>
  </si>
  <si>
    <t>14-Apr-2025</t>
  </si>
  <si>
    <t>26-Nov-2025</t>
  </si>
  <si>
    <t>Customer 179</t>
  </si>
  <si>
    <t>01-Jan-2025</t>
  </si>
  <si>
    <t>07-Nov-2025</t>
  </si>
  <si>
    <t>Customer 193</t>
  </si>
  <si>
    <t>28-Nov-2025</t>
  </si>
  <si>
    <t>16-Apr-2025</t>
  </si>
  <si>
    <t>Customer 192</t>
  </si>
  <si>
    <t>25-Mar-2025</t>
  </si>
  <si>
    <t>Customer 175</t>
  </si>
  <si>
    <t>26-May-2025</t>
  </si>
  <si>
    <t>Customer 191</t>
  </si>
  <si>
    <t>Customer 151</t>
  </si>
  <si>
    <t>Customer 106</t>
  </si>
  <si>
    <t>Customer 139</t>
  </si>
  <si>
    <t>10-Sep-2025</t>
  </si>
  <si>
    <t>Customer 60</t>
  </si>
  <si>
    <t>14-Mar-2025</t>
  </si>
  <si>
    <t>Customer 177</t>
  </si>
  <si>
    <t>18-Jan-2025</t>
  </si>
  <si>
    <t>05-Jun-2025</t>
  </si>
  <si>
    <t>Customer 27</t>
  </si>
  <si>
    <t>10-Apr-2025</t>
  </si>
  <si>
    <t>30-Apr-2025</t>
  </si>
  <si>
    <t>31-Oct-2025</t>
  </si>
  <si>
    <t>09-Nov-2025</t>
  </si>
  <si>
    <t>21-May-2025</t>
  </si>
  <si>
    <t>18-Mar-2025</t>
  </si>
  <si>
    <t>21-Sep-2025</t>
  </si>
  <si>
    <t>10-Jul-2025</t>
  </si>
  <si>
    <t>11-Dec-2025</t>
  </si>
  <si>
    <t>18-Oct-2025</t>
  </si>
  <si>
    <t>Customer 48</t>
  </si>
  <si>
    <t>19-Sep-2025</t>
  </si>
  <si>
    <t>17-Jun-2025</t>
  </si>
  <si>
    <t>Customer 200</t>
  </si>
  <si>
    <t>28-Jun-2025</t>
  </si>
  <si>
    <t>30-May-2025</t>
  </si>
  <si>
    <t>Customer 35</t>
  </si>
  <si>
    <t>Customer 119</t>
  </si>
  <si>
    <t>Customer 148</t>
  </si>
  <si>
    <t>16-Mar-2025</t>
  </si>
  <si>
    <t>Customer 52</t>
  </si>
  <si>
    <t>06-May-2025</t>
  </si>
  <si>
    <t>Customer 16</t>
  </si>
  <si>
    <t>09-May-2025</t>
  </si>
  <si>
    <t>Customer 190</t>
  </si>
  <si>
    <t>12-Jun-2025</t>
  </si>
  <si>
    <t>02-Mar-2025</t>
  </si>
  <si>
    <t>Customer 124</t>
  </si>
  <si>
    <t>16-Jul-2025</t>
  </si>
  <si>
    <t>Customer 161</t>
  </si>
  <si>
    <t>06-Jan-2025</t>
  </si>
  <si>
    <t>14-Jun-2025</t>
  </si>
  <si>
    <t>Customer 76</t>
  </si>
  <si>
    <t>Customer 21</t>
  </si>
  <si>
    <t>21-Dec-2025</t>
  </si>
  <si>
    <t>22-Aug-2025</t>
  </si>
  <si>
    <t>Customer 32</t>
  </si>
  <si>
    <t>12-Feb-2025</t>
  </si>
  <si>
    <t>Customer 42</t>
  </si>
  <si>
    <t>09-Sep-2025</t>
  </si>
  <si>
    <t>05-Feb-2025</t>
  </si>
  <si>
    <t>Customer 47</t>
  </si>
  <si>
    <t>Customer 113</t>
  </si>
  <si>
    <t>Customer 165</t>
  </si>
  <si>
    <t>10-Jan-2025</t>
  </si>
  <si>
    <t>Customer 181</t>
  </si>
  <si>
    <t>19-Jul-2025</t>
  </si>
  <si>
    <t>13-Jul-2025</t>
  </si>
  <si>
    <t>26-Jun-2025</t>
  </si>
  <si>
    <t>Customer 154</t>
  </si>
  <si>
    <t>20-Jul-2025</t>
  </si>
  <si>
    <t>24-Apr-2025</t>
  </si>
  <si>
    <t>Customer 8</t>
  </si>
  <si>
    <t>01-Aug-2025</t>
  </si>
  <si>
    <t>20-Nov-2025</t>
  </si>
  <si>
    <t>29-Jun-2025</t>
  </si>
  <si>
    <t>Customer 144</t>
  </si>
  <si>
    <t>14-Dec-2025</t>
  </si>
  <si>
    <t>Customer 68</t>
  </si>
  <si>
    <t>12-Jan-2025</t>
  </si>
  <si>
    <t>24-Jul-2025</t>
  </si>
  <si>
    <t>05-Oct-2025</t>
  </si>
  <si>
    <t>06-Mar-2025</t>
  </si>
  <si>
    <t>Customer 89</t>
  </si>
  <si>
    <t>04-Dec-2025</t>
  </si>
  <si>
    <t>Customer 111</t>
  </si>
  <si>
    <t>10-Nov-2025</t>
  </si>
  <si>
    <t>Customer 112</t>
  </si>
  <si>
    <t>Customer 152</t>
  </si>
  <si>
    <t>Customer 171</t>
  </si>
  <si>
    <t>08-Aug-2025</t>
  </si>
  <si>
    <t>Customer 49</t>
  </si>
  <si>
    <t>16-Oct-2025</t>
  </si>
  <si>
    <t>12-Dec-2025</t>
  </si>
  <si>
    <t>Customer 196</t>
  </si>
  <si>
    <t>21-Apr-2025</t>
  </si>
  <si>
    <t>16-Jun-2025</t>
  </si>
  <si>
    <t>07-Feb-2025</t>
  </si>
  <si>
    <t>Customer 61</t>
  </si>
  <si>
    <t>17-Sep-2025</t>
  </si>
  <si>
    <t>28-Jul-2025</t>
  </si>
  <si>
    <t>17-Nov-2025</t>
  </si>
  <si>
    <t>Customer 14</t>
  </si>
  <si>
    <t>Customer 72</t>
  </si>
  <si>
    <t>Customer 156</t>
  </si>
  <si>
    <t>27-Jul-2025</t>
  </si>
  <si>
    <t>15-Jun-2025</t>
  </si>
  <si>
    <t>17-Oct-2025</t>
  </si>
  <si>
    <t>Customer 92</t>
  </si>
  <si>
    <t>25-Dec-2025</t>
  </si>
  <si>
    <t>Customer 170</t>
  </si>
  <si>
    <t>29-Aug-2025</t>
  </si>
  <si>
    <t>24-May-2025</t>
  </si>
  <si>
    <t>29-Apr-2025</t>
  </si>
  <si>
    <t>Customer 189</t>
  </si>
  <si>
    <t>26-Feb-2025</t>
  </si>
  <si>
    <t>09-Feb-2025</t>
  </si>
  <si>
    <t>Customer 103</t>
  </si>
  <si>
    <t>Customer 71</t>
  </si>
  <si>
    <t>06-Oct-2025</t>
  </si>
  <si>
    <t>Customer 4</t>
  </si>
  <si>
    <t>10-Feb-2025</t>
  </si>
  <si>
    <t>Customer 176</t>
  </si>
  <si>
    <t>13-Oct-2025</t>
  </si>
  <si>
    <t>26-Mar-2025</t>
  </si>
  <si>
    <t>Customer 158</t>
  </si>
  <si>
    <t>19-Oct-2025</t>
  </si>
  <si>
    <t>Customer 141</t>
  </si>
  <si>
    <t>Customer 107</t>
  </si>
  <si>
    <t>18-Dec-2025</t>
  </si>
  <si>
    <t>14-Oct-2025</t>
  </si>
  <si>
    <t>Customer 138</t>
  </si>
  <si>
    <t>23-Nov-2025</t>
  </si>
  <si>
    <t>22-Jan-2025</t>
  </si>
  <si>
    <t>14-Jan-2025</t>
  </si>
  <si>
    <t>Customer 182</t>
  </si>
  <si>
    <t>22-Jun-2025</t>
  </si>
  <si>
    <t>02-Dec-2025</t>
  </si>
  <si>
    <t>Customer 173</t>
  </si>
  <si>
    <t>09-Apr-2025</t>
  </si>
  <si>
    <t>Customer 149</t>
  </si>
  <si>
    <t>Customer 67</t>
  </si>
  <si>
    <t>04-Jun-2025</t>
  </si>
  <si>
    <t>20-Jun-2025</t>
  </si>
  <si>
    <t>03-Feb-2025</t>
  </si>
  <si>
    <t>06-Nov-2025</t>
  </si>
  <si>
    <t>Customer 114</t>
  </si>
  <si>
    <t>02-Jun-2025</t>
  </si>
  <si>
    <t>Customer 166</t>
  </si>
  <si>
    <t>07-Aug-2025</t>
  </si>
  <si>
    <t>22-Apr-2025</t>
  </si>
  <si>
    <t>27-Dec-2025</t>
  </si>
  <si>
    <t>Customer 80</t>
  </si>
  <si>
    <t>23-Aug-2025</t>
  </si>
  <si>
    <t>01-Oct-2025</t>
  </si>
  <si>
    <t>Customer 164</t>
  </si>
  <si>
    <t>11-Jun-2025</t>
  </si>
  <si>
    <t>Customer 84</t>
  </si>
  <si>
    <t>Customer 1</t>
  </si>
  <si>
    <t>11-Mar-2025</t>
  </si>
  <si>
    <t>08-Feb-2025</t>
  </si>
  <si>
    <t>10-Jun-2025</t>
  </si>
  <si>
    <t>05-Sep-2025</t>
  </si>
  <si>
    <t>04-May-2025</t>
  </si>
  <si>
    <t>24-Sep-2025</t>
  </si>
  <si>
    <t>16-May-2025</t>
  </si>
  <si>
    <t>Customer 137</t>
  </si>
  <si>
    <t>08-Apr-2025</t>
  </si>
  <si>
    <t>Customer 86</t>
  </si>
  <si>
    <t>07-Dec-2025</t>
  </si>
  <si>
    <t>19-Jan-2025</t>
  </si>
  <si>
    <t>15-Aug-2025</t>
  </si>
  <si>
    <t>27-Jun-2025</t>
  </si>
  <si>
    <t>Customer 129</t>
  </si>
  <si>
    <t>Customer 82</t>
  </si>
  <si>
    <t>28-Oct-2025</t>
  </si>
  <si>
    <t>Customer 150</t>
  </si>
  <si>
    <t>22-Mar-2025</t>
  </si>
  <si>
    <t>Customer 198</t>
  </si>
  <si>
    <t>14-Nov-2025</t>
  </si>
  <si>
    <t>Customer 110</t>
  </si>
  <si>
    <t>Customer 93</t>
  </si>
  <si>
    <t>15-Apr-2025</t>
  </si>
  <si>
    <t>Customer 121</t>
  </si>
  <si>
    <t>02-Apr-2025</t>
  </si>
  <si>
    <t>Customer 160</t>
  </si>
  <si>
    <t>16-Nov-2025</t>
  </si>
  <si>
    <t>25-Sep-2025</t>
  </si>
  <si>
    <t>08-Dec-2025</t>
  </si>
  <si>
    <t>Customer 96</t>
  </si>
  <si>
    <t>29-Sep-2025</t>
  </si>
  <si>
    <t>17-May-2025</t>
  </si>
  <si>
    <t>03-Nov-2025</t>
  </si>
  <si>
    <t>14-May-2025</t>
  </si>
  <si>
    <t>Customer 20</t>
  </si>
  <si>
    <t>30-Jun-2025</t>
  </si>
  <si>
    <t>Customer 167</t>
  </si>
  <si>
    <t>08-Oct-2025</t>
  </si>
  <si>
    <t>Customer 125</t>
  </si>
  <si>
    <t>30-Sep-2025</t>
  </si>
  <si>
    <t>15-Jan-2025</t>
  </si>
  <si>
    <t>Customer 168</t>
  </si>
  <si>
    <t>27-Oct-2025</t>
  </si>
  <si>
    <t>24-Feb-2025</t>
  </si>
  <si>
    <t>Customer 131</t>
  </si>
  <si>
    <t>Customer 46</t>
  </si>
  <si>
    <t>Customer 34</t>
  </si>
  <si>
    <t>25-Jul-2025</t>
  </si>
  <si>
    <t>05-Aug-2025</t>
  </si>
  <si>
    <t>26-Jan-2025</t>
  </si>
  <si>
    <t>25-Jan-2025</t>
  </si>
  <si>
    <t>04-Aug-2025</t>
  </si>
  <si>
    <t>05-May-2025</t>
  </si>
  <si>
    <t>08-Jan-2025</t>
  </si>
  <si>
    <t>Customer 184</t>
  </si>
  <si>
    <t>07-Jul-2025</t>
  </si>
  <si>
    <t>28-Mar-2025</t>
  </si>
  <si>
    <t>Customer 77</t>
  </si>
  <si>
    <t>24-Jan-2025</t>
  </si>
  <si>
    <t>07-Sep-2025</t>
  </si>
  <si>
    <t>21-Feb-2025</t>
  </si>
  <si>
    <t>12-Oct-2025</t>
  </si>
  <si>
    <t>11-Jan-2025</t>
  </si>
  <si>
    <t>02-May-2025</t>
  </si>
  <si>
    <t>23-Feb-2025</t>
  </si>
  <si>
    <t>Customer 127</t>
  </si>
  <si>
    <t>16-Sep-2025</t>
  </si>
  <si>
    <t>01-May-2025</t>
  </si>
  <si>
    <t>20-Mar-2025</t>
  </si>
  <si>
    <t>27-Mar-2025</t>
  </si>
  <si>
    <t>Customer 163</t>
  </si>
  <si>
    <t>21-Aug-2025</t>
  </si>
  <si>
    <t>24-Dec-2025</t>
  </si>
  <si>
    <t>29-Oct-2025</t>
  </si>
  <si>
    <t>06-Dec-2025</t>
  </si>
  <si>
    <t>13-Mar-2025</t>
  </si>
  <si>
    <t>Customer 199</t>
  </si>
  <si>
    <t>03-Mar-2025</t>
  </si>
  <si>
    <t>01-Sep-2025</t>
  </si>
  <si>
    <t>24-Nov-2025</t>
  </si>
  <si>
    <t>Customer 9</t>
  </si>
  <si>
    <t>Customer 26</t>
  </si>
  <si>
    <t>Customer 50</t>
  </si>
  <si>
    <t>19-Feb-2025</t>
  </si>
  <si>
    <t>10-Dec-2025</t>
  </si>
  <si>
    <t>29-Nov-2025</t>
  </si>
  <si>
    <t>19-Nov-2025</t>
  </si>
  <si>
    <t>08-Nov-2025</t>
  </si>
  <si>
    <t>11-May-2025</t>
  </si>
  <si>
    <t>Customer 126</t>
  </si>
  <si>
    <t>Customer 66</t>
  </si>
  <si>
    <t>Customer 94</t>
  </si>
  <si>
    <t>06-Sep-2025</t>
  </si>
  <si>
    <t>Customer 69</t>
  </si>
  <si>
    <t>20-Dec-2025</t>
  </si>
  <si>
    <t>28-Aug-2025</t>
  </si>
  <si>
    <t>Customer 174</t>
  </si>
  <si>
    <t>28-May-2025</t>
  </si>
  <si>
    <t>03-Sep-2025</t>
  </si>
  <si>
    <t>Customer 88</t>
  </si>
  <si>
    <t>01-Feb-2025</t>
  </si>
  <si>
    <t>Customer 73</t>
  </si>
  <si>
    <t>25-Jun-2025</t>
  </si>
  <si>
    <t>12-Aug-2025</t>
  </si>
  <si>
    <t>15-Feb-2025</t>
  </si>
  <si>
    <t>Customer 120</t>
  </si>
  <si>
    <t>01-Dec-2025</t>
  </si>
  <si>
    <t>Customer 28</t>
  </si>
  <si>
    <t>31-Aug-2025</t>
  </si>
  <si>
    <t>28-Sep-2025</t>
  </si>
  <si>
    <t>28-Dec-2025</t>
  </si>
  <si>
    <t>Customer 91</t>
  </si>
  <si>
    <t>Customer 59</t>
  </si>
  <si>
    <t>25-Apr-2025</t>
  </si>
  <si>
    <t>24-Aug-2025</t>
  </si>
  <si>
    <t>11-Nov-2025</t>
  </si>
  <si>
    <t>22-Sep-2025</t>
  </si>
  <si>
    <t>04-Feb-2025</t>
  </si>
  <si>
    <t>17-Mar-2025</t>
  </si>
  <si>
    <t>17-Jan-2025</t>
  </si>
  <si>
    <t>Customer 23</t>
  </si>
  <si>
    <t>26-Oct-2025</t>
  </si>
  <si>
    <t>01-Apr-2025</t>
  </si>
  <si>
    <t>11-Apr-2025</t>
  </si>
  <si>
    <t>09-Oct-2025</t>
  </si>
  <si>
    <t>23-Mar-2025</t>
  </si>
  <si>
    <t>04-Oct-2025</t>
  </si>
  <si>
    <t>22-Feb-2025</t>
  </si>
  <si>
    <t>Customer 74</t>
  </si>
  <si>
    <t>Customer 30</t>
  </si>
  <si>
    <t>Customer 95</t>
  </si>
  <si>
    <t>06-Jun-2025</t>
  </si>
  <si>
    <t>Customer 118</t>
  </si>
  <si>
    <t>01-Jun-2025</t>
  </si>
  <si>
    <t>29-Jan-2025</t>
  </si>
  <si>
    <t>27-Feb-2025</t>
  </si>
  <si>
    <t>09-Jul-2025</t>
  </si>
  <si>
    <t>23-Sep-2025</t>
  </si>
  <si>
    <t>29-Jul-2025</t>
  </si>
  <si>
    <t>03-Oct-2025</t>
  </si>
  <si>
    <t>19-Aug-2025</t>
  </si>
  <si>
    <t>18-May-2025</t>
  </si>
  <si>
    <t>02-Sep-2025</t>
  </si>
  <si>
    <t>Customer 7</t>
  </si>
  <si>
    <t>31-Jul-2025</t>
  </si>
  <si>
    <t>Customer 146</t>
  </si>
  <si>
    <t>15-Nov-2025</t>
  </si>
  <si>
    <t>04-Apr-2025</t>
  </si>
  <si>
    <t>03-Apr-2025</t>
  </si>
  <si>
    <t>Customer 38</t>
  </si>
  <si>
    <t>03-Jun-2025</t>
  </si>
  <si>
    <t>15-Sep-2025</t>
  </si>
  <si>
    <t>29-Dec-2025</t>
  </si>
  <si>
    <t>Customer 75</t>
  </si>
  <si>
    <t>13-Jun-2025</t>
  </si>
  <si>
    <t>24-Jun-2025</t>
  </si>
  <si>
    <t>22-Nov-2025</t>
  </si>
  <si>
    <t>Customer 40</t>
  </si>
  <si>
    <t>02-Oct-2025</t>
  </si>
  <si>
    <t>07-Jun-2025</t>
  </si>
  <si>
    <t>08-Mar-2025</t>
  </si>
  <si>
    <t>Customer 33</t>
  </si>
  <si>
    <t>23-Dec-2025</t>
  </si>
  <si>
    <t>05-Nov-2025</t>
  </si>
  <si>
    <t>18-Apr-2025</t>
  </si>
  <si>
    <t>19-Apr-2025</t>
  </si>
  <si>
    <t>19-Dec-2025</t>
  </si>
  <si>
    <t>13-Aug-2025</t>
  </si>
  <si>
    <t>05-Jan-2025</t>
  </si>
  <si>
    <t>18-Nov-2025</t>
  </si>
  <si>
    <t>08-Sep-2025</t>
  </si>
  <si>
    <t>13-May-2025</t>
  </si>
  <si>
    <t>Customer 85</t>
  </si>
  <si>
    <t>19-Jun-2025</t>
  </si>
  <si>
    <t>10-Oct-2025</t>
  </si>
  <si>
    <t>23-Jan-2025</t>
  </si>
  <si>
    <t>11-Jul-2025</t>
  </si>
  <si>
    <t>Customer 45</t>
  </si>
  <si>
    <t>09-Jan-2025</t>
  </si>
  <si>
    <t>20-Apr-2025</t>
  </si>
  <si>
    <t>08-May-2025</t>
  </si>
  <si>
    <t>Customer 81</t>
  </si>
  <si>
    <t>25-Oct-2025</t>
  </si>
  <si>
    <t>Customer 104</t>
  </si>
  <si>
    <t>21-Jan-2025</t>
  </si>
  <si>
    <t>03-Jan-2025</t>
  </si>
  <si>
    <t>20-Aug-2025</t>
  </si>
  <si>
    <t>Month</t>
  </si>
  <si>
    <t>Year</t>
  </si>
  <si>
    <t>Quarter</t>
  </si>
  <si>
    <t>Profit %</t>
  </si>
  <si>
    <t>Sales Category</t>
  </si>
  <si>
    <t>Discount%</t>
  </si>
  <si>
    <t>Row Labels</t>
  </si>
  <si>
    <t>Grand Total</t>
  </si>
  <si>
    <t>Sum of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</si>
  <si>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</si>
  <si>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</si>
  <si>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</si>
  <si>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</si>
  <si>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</si>
  <si>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</si>
  <si>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</si>
  <si>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</si>
  <si>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</si>
  <si>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</si>
  <si>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</si>
  <si>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</si>
  <si>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Profit</t>
  </si>
  <si>
    <t>Sum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</si>
</sst>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 [$₹-4009]\ * #,##0.00_ ;_ [$₹-4009]\ * \-#,##0.00_ ;_ [$₹-4009]\ * &quot;-&quot;??_ ;_ @_ "/>
    <numFmt numFmtId="167" formatCode="_ [$₹-4009]\ * #,##0.0_ ;_ [$₹-4009]\ * \-#,##0.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1" applyFont="1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19"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7" formatCode="_ [$₹-4009]\ * #,##0.0_ ;_ [$₹-4009]\ * \-#,##0.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Category'!$B$4:$B$7</c:f>
              <c:numCache>
                <c:formatCode>_ [$₹-4009]\ * #,##0.00_ ;_ [$₹-4009]\ * \-#,##0.00_ ;_ [$₹-4009]\ * "-"??_ ;_ @_ </c:formatCode>
                <c:ptCount val="3"/>
                <c:pt idx="0">
                  <c:v>3660059.8</c:v>
                </c:pt>
                <c:pt idx="1">
                  <c:v>3905198.9499999988</c:v>
                </c:pt>
                <c:pt idx="2">
                  <c:v>3506631.2499999981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6-475B-AB23-F522AEBEC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843471"/>
        <c:axId val="488849231"/>
      </c:barChart>
      <c:catAx>
        <c:axId val="48884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49231"/>
        <c:crosses val="autoZero"/>
        <c:auto val="1"/>
        <c:lblAlgn val="ctr"/>
        <c:lblOffset val="100"/>
        <c:noMultiLvlLbl val="0"/>
      </c:catAx>
      <c:valAx>
        <c:axId val="48884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4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[Retail_Sales_Cleaned.xlsx]Monthly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Sales'!$B$4:$B$16</c:f>
              <c:numCache>
                <c:formatCode>_ [$₹-4009]\ * #,##0.00_ ;_ [$₹-4009]\ * \-#,##0.00_ ;_ [$₹-4009]\ * "-"??_ ;_ @_ </c:formatCode>
                <c:ptCount val="12"/>
                <c:pt idx="0">
                  <c:v>935864.60000000033</c:v>
                </c:pt>
                <c:pt idx="1">
                  <c:v>982750.40000000026</c:v>
                </c:pt>
                <c:pt idx="2">
                  <c:v>1097587.2000000004</c:v>
                </c:pt>
                <c:pt idx="3">
                  <c:v>890304.50000000012</c:v>
                </c:pt>
                <c:pt idx="4">
                  <c:v>864759.65000000014</c:v>
                </c:pt>
                <c:pt idx="5">
                  <c:v>732494.5</c:v>
                </c:pt>
                <c:pt idx="6">
                  <c:v>1013635.1000000002</c:v>
                </c:pt>
                <c:pt idx="7">
                  <c:v>855462.30000000016</c:v>
                </c:pt>
                <c:pt idx="8">
                  <c:v>1043145.8499999997</c:v>
                </c:pt>
                <c:pt idx="9">
                  <c:v>893165.54999999993</c:v>
                </c:pt>
                <c:pt idx="10">
                  <c:v>970811.35</c:v>
                </c:pt>
                <c:pt idx="11">
                  <c:v>791909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0-47BA-80E1-D6BD7D6B2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850671"/>
        <c:axId val="488851151"/>
      </c:lineChart>
      <c:catAx>
        <c:axId val="48885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51151"/>
        <c:crosses val="autoZero"/>
        <c:auto val="1"/>
        <c:lblAlgn val="ctr"/>
        <c:lblOffset val="100"/>
        <c:noMultiLvlLbl val="0"/>
      </c:catAx>
      <c:valAx>
        <c:axId val="4888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5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[Retail_Sales_Cleaned.xlsx]Profit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'Profit Analysis'!$B$4:$B$7</c:f>
              <c:numCache>
                <c:formatCode>_ [$₹-4009]\ * #,##0.0_ ;_ [$₹-4009]\ * \-#,##0.0_ ;_ [$₹-4009]\ * "-"??_ ;_ @_ </c:formatCode>
                <c:ptCount val="3"/>
                <c:pt idx="0">
                  <c:v>732874.46</c:v>
                </c:pt>
                <c:pt idx="1">
                  <c:v>778754.41999999993</c:v>
                </c:pt>
                <c:pt idx="2">
                  <c:v>662398.96000000031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332-BA7A-629205EA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852591"/>
        <c:axId val="488853071"/>
      </c:barChart>
      <c:catAx>
        <c:axId val="48885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53071"/>
        <c:crosses val="autoZero"/>
        <c:auto val="1"/>
        <c:lblAlgn val="ctr"/>
        <c:lblOffset val="100"/>
        <c:noMultiLvlLbl val="0"/>
      </c:catAx>
      <c:valAx>
        <c:axId val="48885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_ ;_ [$₹-4009]\ * \-#,##0.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5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[Retail_Sales_Cleaned.xlsx]Sales by City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 '!$A$4:$A$12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'Sales by City '!$B$4:$B$12</c:f>
              <c:numCache>
                <c:formatCode>_ [$₹-4009]\ * #,##0.00_ ;_ [$₹-4009]\ * \-#,##0.00_ ;_ [$₹-4009]\ * "-"??_ ;_ @_ </c:formatCode>
                <c:ptCount val="8"/>
                <c:pt idx="0">
                  <c:v>1601339.4000000001</c:v>
                </c:pt>
                <c:pt idx="1">
                  <c:v>1525575.7000000002</c:v>
                </c:pt>
                <c:pt idx="2">
                  <c:v>1510597.3499999999</c:v>
                </c:pt>
                <c:pt idx="3">
                  <c:v>1068791.8500000003</c:v>
                </c:pt>
                <c:pt idx="4">
                  <c:v>1312160.9499999997</c:v>
                </c:pt>
                <c:pt idx="5">
                  <c:v>1305628.5999999999</c:v>
                </c:pt>
                <c:pt idx="6">
                  <c:v>1499511.4000000001</c:v>
                </c:pt>
                <c:pt idx="7">
                  <c:v>1248284.7500000007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0-4212-9290-30CF9B930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856911"/>
        <c:axId val="488855471"/>
      </c:barChart>
      <c:catAx>
        <c:axId val="48885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55471"/>
        <c:crosses val="autoZero"/>
        <c:auto val="1"/>
        <c:lblAlgn val="ctr"/>
        <c:lblOffset val="100"/>
        <c:noMultiLvlLbl val="0"/>
      </c:catAx>
      <c:valAx>
        <c:axId val="48885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5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[Retail_Sales_Cleaned.xlsx]Top 10 Customers by Sales!PivotTable5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Customers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 by Sales'!$A$4:$A$14</c:f>
              <c:strCache>
                <c:ptCount val="10"/>
                <c:pt idx="0">
                  <c:v>Customer 13</c:v>
                </c:pt>
                <c:pt idx="1">
                  <c:v>Customer 42</c:v>
                </c:pt>
                <c:pt idx="2">
                  <c:v>Customer 154</c:v>
                </c:pt>
                <c:pt idx="3">
                  <c:v>Customer 43</c:v>
                </c:pt>
                <c:pt idx="4">
                  <c:v>Customer 155</c:v>
                </c:pt>
                <c:pt idx="5">
                  <c:v>Customer 10</c:v>
                </c:pt>
                <c:pt idx="6">
                  <c:v>Customer 79</c:v>
                </c:pt>
                <c:pt idx="7">
                  <c:v>Customer 34</c:v>
                </c:pt>
                <c:pt idx="8">
                  <c:v>Customer 133</c:v>
                </c:pt>
                <c:pt idx="9">
                  <c:v>Customer 12</c:v>
                </c:pt>
              </c:strCache>
            </c:strRef>
          </c:cat>
          <c:val>
            <c:numRef>
              <c:f>'Top 10 Customers by Sales'!$B$4:$B$14</c:f>
              <c:numCache>
                <c:formatCode>_ [$₹-4009]\ * #,##0.00_ ;_ [$₹-4009]\ * \-#,##0.00_ ;_ [$₹-4009]\ * "-"??_ ;_ @_ </c:formatCode>
                <c:ptCount val="10"/>
                <c:pt idx="0">
                  <c:v>113940.19999999998</c:v>
                </c:pt>
                <c:pt idx="1">
                  <c:v>117024.35</c:v>
                </c:pt>
                <c:pt idx="2">
                  <c:v>120920.35</c:v>
                </c:pt>
                <c:pt idx="3">
                  <c:v>127017.05</c:v>
                </c:pt>
                <c:pt idx="4">
                  <c:v>128997.1</c:v>
                </c:pt>
                <c:pt idx="5">
                  <c:v>129632.84999999999</c:v>
                </c:pt>
                <c:pt idx="6">
                  <c:v>135515.75</c:v>
                </c:pt>
                <c:pt idx="7">
                  <c:v>138957.15000000002</c:v>
                </c:pt>
                <c:pt idx="8">
                  <c:v>150144.20000000001</c:v>
                </c:pt>
                <c:pt idx="9">
                  <c:v>157561.00000000003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E-488C-A51B-4319EA248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axId val="488874671"/>
        <c:axId val="488875631"/>
      </c:barChart>
      <c:catAx>
        <c:axId val="488874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75631"/>
        <c:crosses val="autoZero"/>
        <c:auto val="1"/>
        <c:lblAlgn val="ctr"/>
        <c:lblOffset val="100"/>
        <c:noMultiLvlLbl val="0"/>
      </c:catAx>
      <c:valAx>
        <c:axId val="48887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7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[Retail_Sales_Cleaned.xlsx]Payment mode analysis!PivotTable6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'Payment mode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'Payment mode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'Payment mode analysis'!$B$4:$B$9</c:f>
              <c:numCache>
                <c:formatCode>General</c:formatCode>
                <c:ptCount val="5"/>
                <c:pt idx="0">
                  <c:v>2199546</c:v>
                </c:pt>
                <c:pt idx="1">
                  <c:v>2029689</c:v>
                </c:pt>
                <c:pt idx="2">
                  <c:v>2163493</c:v>
                </c:pt>
                <c:pt idx="3">
                  <c:v>2106979</c:v>
                </c:pt>
                <c:pt idx="4">
                  <c:v>2000793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2-47CB-AE38-91839C44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9</xdr:row>
      <xdr:rowOff>175260</xdr:rowOff>
    </xdr:from>
    <xdr:to>
      <xdr:col>11</xdr:col>
      <xdr:colOff>243840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091AC-0855-1A6E-7228-D4C7C7578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9</xdr:row>
      <xdr:rowOff>175260</xdr:rowOff>
    </xdr:from>
    <xdr:to>
      <xdr:col>11</xdr:col>
      <xdr:colOff>281940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CB03D-7F39-9B46-E89B-9B8E999B8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9</xdr:row>
      <xdr:rowOff>175260</xdr:rowOff>
    </xdr:from>
    <xdr:to>
      <xdr:col>11</xdr:col>
      <xdr:colOff>350520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B7408-AF40-5004-02D6-177264877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9</xdr:row>
      <xdr:rowOff>175260</xdr:rowOff>
    </xdr:from>
    <xdr:to>
      <xdr:col>11</xdr:col>
      <xdr:colOff>281940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5EF2A-A107-7EAD-1A8B-E7F53EF47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7</xdr:row>
      <xdr:rowOff>60960</xdr:rowOff>
    </xdr:from>
    <xdr:to>
      <xdr:col>15</xdr:col>
      <xdr:colOff>365760</xdr:colOff>
      <xdr:row>22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110757-E53D-40DE-853B-2D463A60E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9</xdr:row>
      <xdr:rowOff>175260</xdr:rowOff>
    </xdr:from>
    <xdr:to>
      <xdr:col>11</xdr:col>
      <xdr:colOff>167640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79197-E46C-1FB2-3549-F16173BC6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" refreshedDate="46200.948133333331" createdVersion="8" refreshedVersion="8" minRefreshableVersion="3" recordCount="1000" xr:uid="{8A4A31E3-AC4B-4AF9-AF72-805F39570E0C}">
  <cacheSource type="worksheet">
    <worksheetSource name="Table1"/>
  </cacheSource>
  <cacheFields count="19">
    <cacheField name="Order ID" numFmtId="0">
      <sharedItems containsSemiMixedTypes="0" containsString="0" containsNumber="1" containsInteger="1" minValue="10001" maxValue="11000"/>
    </cacheField>
    <cacheField name="Order Date" numFmtId="14">
      <sharedItems/>
    </cacheField>
    <cacheField name="Customer Name" numFmtId="0">
      <sharedItems count="199">
        <s v="Customer 17"/>
        <s v="Customer 31"/>
        <s v="Customer 99"/>
        <s v="Customer 186"/>
        <s v="Customer 132"/>
        <s v="Customer 183"/>
        <s v="Customer 10"/>
        <s v="Customer 39"/>
        <s v="Customer 195"/>
        <s v="Customer 24"/>
        <s v="Customer 41"/>
        <s v="Customer 79"/>
        <s v="Customer 162"/>
        <s v="Customer 185"/>
        <s v="Customer 101"/>
        <s v="Customer 13"/>
        <s v="Customer 143"/>
        <s v="Customer 145"/>
        <s v="Customer 122"/>
        <s v="Customer 133"/>
        <s v="Customer 102"/>
        <s v="Customer 5"/>
        <s v="Customer 155"/>
        <s v="Customer 55"/>
        <s v="Customer 54"/>
        <s v="Customer 136"/>
        <s v="Customer 25"/>
        <s v="Customer 147"/>
        <s v="Customer 58"/>
        <s v="Customer 2"/>
        <s v="Customer 12"/>
        <s v="Customer 123"/>
        <s v="Customer 180"/>
        <s v="Customer 83"/>
        <s v="Customer 187"/>
        <s v="Customer 135"/>
        <s v="Customer 29"/>
        <s v="Customer 87"/>
        <s v="Customer 98"/>
        <s v="Customer 178"/>
        <s v="Customer 57"/>
        <s v="Customer 56"/>
        <s v="Customer 197"/>
        <s v="Customer 142"/>
        <s v="Customer 116"/>
        <s v="Customer 70"/>
        <s v="Customer 51"/>
        <s v="Customer 140"/>
        <s v="Customer 153"/>
        <s v="Customer 53"/>
        <s v="Customer 109"/>
        <s v="Customer 63"/>
        <s v="Customer 18"/>
        <s v="Customer 3"/>
        <s v="Customer 6"/>
        <s v="Customer 169"/>
        <s v="Customer 36"/>
        <s v="Customer 62"/>
        <s v="Customer 159"/>
        <s v="Customer 117"/>
        <s v="Customer 64"/>
        <s v="Customer 115"/>
        <s v="Customer 11"/>
        <s v="Customer 134"/>
        <s v="Customer 15"/>
        <s v="Customer 90"/>
        <s v="Customer 22"/>
        <s v="Customer 37"/>
        <s v="Customer 130"/>
        <s v="Customer 188"/>
        <s v="Customer 97"/>
        <s v="Customer 105"/>
        <s v="Customer 172"/>
        <s v="Customer 157"/>
        <s v="Customer 128"/>
        <s v="Customer 65"/>
        <s v="Customer 19"/>
        <s v="Customer 108"/>
        <s v="Customer 194"/>
        <s v="Customer 43"/>
        <s v="Customer 78"/>
        <s v="Customer 44"/>
        <s v="Customer 179"/>
        <s v="Customer 193"/>
        <s v="Customer 192"/>
        <s v="Customer 175"/>
        <s v="Customer 191"/>
        <s v="Customer 151"/>
        <s v="Customer 106"/>
        <s v="Customer 139"/>
        <s v="Customer 60"/>
        <s v="Customer 177"/>
        <s v="Customer 27"/>
        <s v="Customer 48"/>
        <s v="Customer 200"/>
        <s v="Customer 35"/>
        <s v="Customer 119"/>
        <s v="Customer 148"/>
        <s v="Customer 52"/>
        <s v="Customer 16"/>
        <s v="Customer 190"/>
        <s v="Customer 124"/>
        <s v="Customer 161"/>
        <s v="Customer 76"/>
        <s v="Customer 21"/>
        <s v="Customer 32"/>
        <s v="Customer 42"/>
        <s v="Customer 47"/>
        <s v="Customer 113"/>
        <s v="Customer 165"/>
        <s v="Customer 181"/>
        <s v="Customer 154"/>
        <s v="Customer 8"/>
        <s v="Customer 144"/>
        <s v="Customer 68"/>
        <s v="Customer 89"/>
        <s v="Customer 111"/>
        <s v="Customer 112"/>
        <s v="Customer 152"/>
        <s v="Customer 171"/>
        <s v="Customer 49"/>
        <s v="Customer 196"/>
        <s v="Customer 61"/>
        <s v="Customer 14"/>
        <s v="Customer 72"/>
        <s v="Customer 156"/>
        <s v="Customer 92"/>
        <s v="Customer 170"/>
        <s v="Customer 189"/>
        <s v="Customer 103"/>
        <s v="Customer 71"/>
        <s v="Customer 4"/>
        <s v="Customer 176"/>
        <s v="Customer 158"/>
        <s v="Customer 141"/>
        <s v="Customer 107"/>
        <s v="Customer 138"/>
        <s v="Customer 182"/>
        <s v="Customer 173"/>
        <s v="Customer 149"/>
        <s v="Customer 67"/>
        <s v="Customer 114"/>
        <s v="Customer 166"/>
        <s v="Customer 80"/>
        <s v="Customer 164"/>
        <s v="Customer 84"/>
        <s v="Customer 1"/>
        <s v="Customer 137"/>
        <s v="Customer 86"/>
        <s v="Customer 129"/>
        <s v="Customer 82"/>
        <s v="Customer 150"/>
        <s v="Customer 198"/>
        <s v="Customer 110"/>
        <s v="Customer 93"/>
        <s v="Customer 121"/>
        <s v="Customer 160"/>
        <s v="Customer 96"/>
        <s v="Customer 20"/>
        <s v="Customer 167"/>
        <s v="Customer 125"/>
        <s v="Customer 168"/>
        <s v="Customer 131"/>
        <s v="Customer 46"/>
        <s v="Customer 34"/>
        <s v="Customer 184"/>
        <s v="Customer 77"/>
        <s v="Customer 127"/>
        <s v="Customer 163"/>
        <s v="Customer 199"/>
        <s v="Customer 9"/>
        <s v="Customer 26"/>
        <s v="Customer 50"/>
        <s v="Customer 126"/>
        <s v="Customer 66"/>
        <s v="Customer 94"/>
        <s v="Customer 69"/>
        <s v="Customer 174"/>
        <s v="Customer 88"/>
        <s v="Customer 73"/>
        <s v="Customer 120"/>
        <s v="Customer 28"/>
        <s v="Customer 91"/>
        <s v="Customer 59"/>
        <s v="Customer 23"/>
        <s v="Customer 74"/>
        <s v="Customer 30"/>
        <s v="Customer 95"/>
        <s v="Customer 118"/>
        <s v="Customer 7"/>
        <s v="Customer 146"/>
        <s v="Customer 38"/>
        <s v="Customer 75"/>
        <s v="Customer 40"/>
        <s v="Customer 33"/>
        <s v="Customer 85"/>
        <s v="Customer 45"/>
        <s v="Customer 81"/>
        <s v="Customer 104"/>
      </sharedItems>
    </cacheField>
    <cacheField name="City" numFmtId="0">
      <sharedItems count="8">
        <s v="Pune"/>
        <s v="Chennai"/>
        <s v="Kolkata"/>
        <s v="Ahmedabad"/>
        <s v="Hyderabad"/>
        <s v="Bangalore"/>
        <s v="Mumbai"/>
        <s v="Delhi"/>
      </sharedItems>
    </cacheField>
    <cacheField name="State" numFmtId="0">
      <sharedItems/>
    </cacheField>
    <cacheField name="Category" numFmtId="0">
      <sharedItems count="3">
        <s v="Electronics"/>
        <s v="Office Supplies"/>
        <s v="Furniture"/>
      </sharedItems>
    </cacheField>
    <cacheField name="Sub 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Sales" numFmtId="0">
      <sharedItems containsSemiMixedTypes="0" containsString="0" containsNumber="1" minValue="107.35" maxValue="39664"/>
    </cacheField>
    <cacheField name="Profit" numFmtId="0">
      <sharedItems containsSemiMixedTypes="0" containsString="0" containsNumber="1" minValue="24.51" maxValue="10602"/>
    </cacheField>
    <cacheField name="Discount" numFmtId="0">
      <sharedItems containsSemiMixedTypes="0" containsString="0" containsNumber="1" containsInteger="1" minValue="0" maxValue="20" count="5">
        <n v="15"/>
        <n v="10"/>
        <n v="0"/>
        <n v="20"/>
        <n v="5"/>
      </sharedItems>
    </cacheField>
    <cacheField name="Payment Mode" numFmtId="0">
      <sharedItems count="5">
        <s v="Net Banking"/>
        <s v="Debit Card"/>
        <s v="Credit Card"/>
        <s v="Cash"/>
        <s v="UPI"/>
      </sharedItems>
    </cacheField>
    <cacheField name="Month" numFmtId="0">
      <sharedItems count="12">
        <s v="January"/>
        <s v="February"/>
        <s v="July"/>
        <s v="September"/>
        <s v="April"/>
        <s v="August"/>
        <s v="May"/>
        <s v="October"/>
        <s v="March"/>
        <s v="December"/>
        <s v="November"/>
        <s v="June"/>
      </sharedItems>
    </cacheField>
    <cacheField name="Year" numFmtId="0">
      <sharedItems containsSemiMixedTypes="0" containsString="0" containsNumber="1" containsInteger="1" minValue="2025" maxValue="2025"/>
    </cacheField>
    <cacheField name="Quarter" numFmtId="0">
      <sharedItems/>
    </cacheField>
    <cacheField name="Profit %" numFmtId="10">
      <sharedItems containsSemiMixedTypes="0" containsString="0" containsNumber="1" minValue="8.0102474526928674E-2" maxValue="0.29992240599749131"/>
    </cacheField>
    <cacheField name="Sales Category" numFmtId="0">
      <sharedItems/>
    </cacheField>
    <cacheField name="Discount%" numFmtId="9">
      <sharedItems containsSemiMixedTypes="0" containsString="0" containsNumber="1" minValue="0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1"/>
    <s v="31-Jan-2025"/>
    <x v="0"/>
    <x v="0"/>
    <s v="Maharashtra"/>
    <x v="0"/>
    <s v="Computers"/>
    <s v="Laptop"/>
    <n v="4"/>
    <n v="11944.2"/>
    <n v="1309.28"/>
    <x v="0"/>
    <x v="0"/>
    <x v="0"/>
    <n v="2025"/>
    <s v="Q1"/>
    <n v="0.10961638284690477"/>
    <s v="HIGH"/>
    <n v="0.15"/>
  </r>
  <r>
    <n v="10002"/>
    <s v="14-Feb-2025"/>
    <x v="1"/>
    <x v="1"/>
    <s v="Tamil Nadu"/>
    <x v="1"/>
    <s v="Stationery"/>
    <s v="Marker"/>
    <n v="8"/>
    <n v="5961.6"/>
    <n v="619.58000000000004"/>
    <x v="1"/>
    <x v="1"/>
    <x v="1"/>
    <n v="2025"/>
    <s v="Q1"/>
    <n v="0.10392847557702631"/>
    <s v="HIGH"/>
    <n v="0.1"/>
  </r>
  <r>
    <n v="10003"/>
    <s v="08-Jul-2025"/>
    <x v="2"/>
    <x v="1"/>
    <s v="Tamil Nadu"/>
    <x v="2"/>
    <s v="Office"/>
    <s v="Desk"/>
    <n v="6"/>
    <n v="6348"/>
    <n v="1585.44"/>
    <x v="2"/>
    <x v="1"/>
    <x v="2"/>
    <n v="2025"/>
    <s v="Q3"/>
    <n v="0.24975425330812856"/>
    <s v="HIGH"/>
    <n v="0"/>
  </r>
  <r>
    <n v="10004"/>
    <s v="11-Sep-2025"/>
    <x v="3"/>
    <x v="2"/>
    <s v="West Bengal"/>
    <x v="2"/>
    <s v="Chairs"/>
    <s v="Chair"/>
    <n v="6"/>
    <n v="21235.200000000001"/>
    <n v="3308.25"/>
    <x v="3"/>
    <x v="2"/>
    <x v="3"/>
    <n v="2025"/>
    <s v="Q3"/>
    <n v="0.15579085669077758"/>
    <s v="HIGH"/>
    <n v="0.2"/>
  </r>
  <r>
    <n v="10005"/>
    <s v="26-Apr-2025"/>
    <x v="4"/>
    <x v="1"/>
    <s v="Tamil Nadu"/>
    <x v="0"/>
    <s v="Audio"/>
    <s v="Headphones"/>
    <n v="1"/>
    <n v="2578.4"/>
    <n v="599.37"/>
    <x v="3"/>
    <x v="3"/>
    <x v="4"/>
    <n v="2025"/>
    <s v="Q2"/>
    <n v="0.23245811355879614"/>
    <s v="MEDIUM"/>
    <n v="0.2"/>
  </r>
  <r>
    <n v="10006"/>
    <s v="18-Aug-2025"/>
    <x v="5"/>
    <x v="0"/>
    <s v="Maharashtra"/>
    <x v="1"/>
    <s v="Stationery"/>
    <s v="Pen"/>
    <n v="6"/>
    <n v="21654.6"/>
    <n v="2197.33"/>
    <x v="0"/>
    <x v="4"/>
    <x v="5"/>
    <n v="2025"/>
    <s v="Q3"/>
    <n v="0.10147174272440959"/>
    <s v="HIGH"/>
    <n v="0.15"/>
  </r>
  <r>
    <n v="10007"/>
    <s v="28-Feb-2025"/>
    <x v="6"/>
    <x v="3"/>
    <s v="Gujarat"/>
    <x v="0"/>
    <s v="Audio"/>
    <s v="Headphones"/>
    <n v="6"/>
    <n v="24936"/>
    <n v="4548.78"/>
    <x v="2"/>
    <x v="2"/>
    <x v="1"/>
    <n v="2025"/>
    <s v="Q1"/>
    <n v="0.18241819056785369"/>
    <s v="HIGH"/>
    <n v="0"/>
  </r>
  <r>
    <n v="10008"/>
    <s v="06-Feb-2025"/>
    <x v="7"/>
    <x v="4"/>
    <s v="Telangana"/>
    <x v="0"/>
    <s v="Computers"/>
    <s v="Laptop"/>
    <n v="1"/>
    <n v="413.25"/>
    <n v="114.27"/>
    <x v="4"/>
    <x v="1"/>
    <x v="1"/>
    <n v="2025"/>
    <s v="Q1"/>
    <n v="0.27651542649727767"/>
    <s v="LOW"/>
    <n v="0.05"/>
  </r>
  <r>
    <n v="10009"/>
    <s v="20-Feb-2025"/>
    <x v="8"/>
    <x v="5"/>
    <s v="Karnataka"/>
    <x v="2"/>
    <s v="Office"/>
    <s v="Desk"/>
    <n v="3"/>
    <n v="13919.4"/>
    <n v="3540.96"/>
    <x v="4"/>
    <x v="1"/>
    <x v="1"/>
    <n v="2025"/>
    <s v="Q1"/>
    <n v="0.25439027544290704"/>
    <s v="HIGH"/>
    <n v="0.05"/>
  </r>
  <r>
    <n v="10010"/>
    <s v="25-May-2025"/>
    <x v="9"/>
    <x v="0"/>
    <s v="Maharashtra"/>
    <x v="1"/>
    <s v="Stationery"/>
    <s v="Marker"/>
    <n v="3"/>
    <n v="5651.55"/>
    <n v="557.25"/>
    <x v="4"/>
    <x v="3"/>
    <x v="6"/>
    <n v="2025"/>
    <s v="Q2"/>
    <n v="9.860126867850412E-2"/>
    <s v="HIGH"/>
    <n v="0.05"/>
  </r>
  <r>
    <n v="10011"/>
    <s v="23-May-2025"/>
    <x v="10"/>
    <x v="6"/>
    <s v="Maharashtra"/>
    <x v="1"/>
    <s v="Stationery"/>
    <s v="Marker"/>
    <n v="6"/>
    <n v="21797.4"/>
    <n v="5077.01"/>
    <x v="0"/>
    <x v="0"/>
    <x v="6"/>
    <n v="2025"/>
    <s v="Q2"/>
    <n v="0.23291814620092305"/>
    <s v="HIGH"/>
    <n v="0.15"/>
  </r>
  <r>
    <n v="10012"/>
    <s v="11-Oct-2025"/>
    <x v="11"/>
    <x v="6"/>
    <s v="Maharashtra"/>
    <x v="1"/>
    <s v="Stationery"/>
    <s v="Marker"/>
    <n v="6"/>
    <n v="12124.8"/>
    <n v="2361.88"/>
    <x v="3"/>
    <x v="3"/>
    <x v="7"/>
    <n v="2025"/>
    <s v="Q4"/>
    <n v="0.19479743995777252"/>
    <s v="HIGH"/>
    <n v="0.2"/>
  </r>
  <r>
    <n v="10013"/>
    <s v="20-Jan-2025"/>
    <x v="12"/>
    <x v="3"/>
    <s v="Gujarat"/>
    <x v="1"/>
    <s v="Stationery"/>
    <s v="Notebook"/>
    <n v="6"/>
    <n v="22518"/>
    <n v="1852.01"/>
    <x v="1"/>
    <x v="0"/>
    <x v="0"/>
    <n v="2025"/>
    <s v="Q1"/>
    <n v="8.2245758948396835E-2"/>
    <s v="HIGH"/>
    <n v="0.1"/>
  </r>
  <r>
    <n v="10014"/>
    <s v="29-Mar-2025"/>
    <x v="13"/>
    <x v="7"/>
    <s v="Delhi"/>
    <x v="0"/>
    <s v="Accessories"/>
    <s v="Mouse"/>
    <n v="5"/>
    <n v="4876"/>
    <n v="1108.98"/>
    <x v="3"/>
    <x v="0"/>
    <x v="8"/>
    <n v="2025"/>
    <s v="Q1"/>
    <n v="0.22743642329778507"/>
    <s v="MEDIUM"/>
    <n v="0.2"/>
  </r>
  <r>
    <n v="10015"/>
    <s v="12-Mar-2025"/>
    <x v="14"/>
    <x v="3"/>
    <s v="Gujarat"/>
    <x v="0"/>
    <s v="Computers"/>
    <s v="Laptop"/>
    <n v="3"/>
    <n v="4240.8"/>
    <n v="1010.18"/>
    <x v="3"/>
    <x v="4"/>
    <x v="8"/>
    <n v="2025"/>
    <s v="Q1"/>
    <n v="0.23820505564987737"/>
    <s v="MEDIUM"/>
    <n v="0.2"/>
  </r>
  <r>
    <n v="10016"/>
    <s v="03-May-2025"/>
    <x v="15"/>
    <x v="1"/>
    <s v="Tamil Nadu"/>
    <x v="1"/>
    <s v="Stationery"/>
    <s v="Marker"/>
    <n v="8"/>
    <n v="25768.799999999999"/>
    <n v="4043.21"/>
    <x v="1"/>
    <x v="4"/>
    <x v="6"/>
    <n v="2025"/>
    <s v="Q2"/>
    <n v="0.15690330942845612"/>
    <s v="HIGH"/>
    <n v="0.1"/>
  </r>
  <r>
    <n v="10017"/>
    <s v="14-Sep-2025"/>
    <x v="16"/>
    <x v="3"/>
    <s v="Gujarat"/>
    <x v="1"/>
    <s v="Stationery"/>
    <s v="Pen"/>
    <n v="5"/>
    <n v="9837"/>
    <n v="2785.19"/>
    <x v="1"/>
    <x v="3"/>
    <x v="3"/>
    <n v="2025"/>
    <s v="Q3"/>
    <n v="0.28313408559520181"/>
    <s v="HIGH"/>
    <n v="0.1"/>
  </r>
  <r>
    <n v="10018"/>
    <s v="13-Jan-2025"/>
    <x v="17"/>
    <x v="4"/>
    <s v="Telangana"/>
    <x v="1"/>
    <s v="Stationery"/>
    <s v="Marker"/>
    <n v="4"/>
    <n v="9203.6"/>
    <n v="2064.7399999999998"/>
    <x v="4"/>
    <x v="2"/>
    <x v="0"/>
    <n v="2025"/>
    <s v="Q1"/>
    <n v="0.22434047546612193"/>
    <s v="HIGH"/>
    <n v="0.05"/>
  </r>
  <r>
    <n v="10019"/>
    <s v="16-Dec-2025"/>
    <x v="18"/>
    <x v="0"/>
    <s v="Maharashtra"/>
    <x v="0"/>
    <s v="Accessories"/>
    <s v="Mouse"/>
    <n v="1"/>
    <n v="392"/>
    <n v="86.33"/>
    <x v="3"/>
    <x v="0"/>
    <x v="9"/>
    <n v="2025"/>
    <s v="Q4"/>
    <n v="0.22022959183673468"/>
    <s v="LOW"/>
    <n v="0.2"/>
  </r>
  <r>
    <n v="10020"/>
    <s v="14-Jul-2025"/>
    <x v="19"/>
    <x v="6"/>
    <s v="Maharashtra"/>
    <x v="2"/>
    <s v="Tables"/>
    <s v="Table"/>
    <n v="8"/>
    <n v="35644"/>
    <n v="8049.52"/>
    <x v="4"/>
    <x v="1"/>
    <x v="2"/>
    <n v="2025"/>
    <s v="Q3"/>
    <n v="0.22583099539894513"/>
    <s v="HIGH"/>
    <n v="0.05"/>
  </r>
  <r>
    <n v="10021"/>
    <s v="27-Apr-2025"/>
    <x v="20"/>
    <x v="0"/>
    <s v="Maharashtra"/>
    <x v="2"/>
    <s v="Chairs"/>
    <s v="Chair"/>
    <n v="1"/>
    <n v="2555.9499999999998"/>
    <n v="623.87"/>
    <x v="0"/>
    <x v="3"/>
    <x v="4"/>
    <n v="2025"/>
    <s v="Q2"/>
    <n v="0.2440853694321094"/>
    <s v="MEDIUM"/>
    <n v="0.15"/>
  </r>
  <r>
    <n v="10022"/>
    <s v="09-Aug-2025"/>
    <x v="21"/>
    <x v="5"/>
    <s v="Karnataka"/>
    <x v="1"/>
    <s v="Paper"/>
    <s v="Printer Paper"/>
    <n v="6"/>
    <n v="19414.2"/>
    <n v="1948.84"/>
    <x v="4"/>
    <x v="0"/>
    <x v="5"/>
    <n v="2025"/>
    <s v="Q3"/>
    <n v="0.10038219447620812"/>
    <s v="HIGH"/>
    <n v="0.05"/>
  </r>
  <r>
    <n v="10023"/>
    <s v="22-May-2025"/>
    <x v="22"/>
    <x v="1"/>
    <s v="Tamil Nadu"/>
    <x v="1"/>
    <s v="Stationery"/>
    <s v="Pen"/>
    <n v="3"/>
    <n v="11994"/>
    <n v="3449.94"/>
    <x v="2"/>
    <x v="3"/>
    <x v="6"/>
    <n v="2025"/>
    <s v="Q2"/>
    <n v="0.28763881940970487"/>
    <s v="HIGH"/>
    <n v="0"/>
  </r>
  <r>
    <n v="10024"/>
    <s v="11-Aug-2025"/>
    <x v="23"/>
    <x v="3"/>
    <s v="Gujarat"/>
    <x v="1"/>
    <s v="Stationery"/>
    <s v="Pen"/>
    <n v="4"/>
    <n v="6412.8"/>
    <n v="1610.94"/>
    <x v="3"/>
    <x v="3"/>
    <x v="5"/>
    <n v="2025"/>
    <s v="Q3"/>
    <n v="0.25120696107784429"/>
    <s v="HIGH"/>
    <n v="0.2"/>
  </r>
  <r>
    <n v="10025"/>
    <s v="03-Jul-2025"/>
    <x v="4"/>
    <x v="4"/>
    <s v="Telangana"/>
    <x v="2"/>
    <s v="Chairs"/>
    <s v="Chair"/>
    <n v="2"/>
    <n v="7630.2"/>
    <n v="951.1"/>
    <x v="1"/>
    <x v="1"/>
    <x v="2"/>
    <n v="2025"/>
    <s v="Q3"/>
    <n v="0.12464941941233521"/>
    <s v="HIGH"/>
    <n v="0.1"/>
  </r>
  <r>
    <n v="10026"/>
    <s v="26-Dec-2025"/>
    <x v="24"/>
    <x v="0"/>
    <s v="Maharashtra"/>
    <x v="1"/>
    <s v="Stationery"/>
    <s v="Pen"/>
    <n v="5"/>
    <n v="12036"/>
    <n v="2585.42"/>
    <x v="0"/>
    <x v="2"/>
    <x v="9"/>
    <n v="2025"/>
    <s v="Q4"/>
    <n v="0.21480724493187106"/>
    <s v="HIGH"/>
    <n v="0.15"/>
  </r>
  <r>
    <n v="10027"/>
    <s v="21-Jul-2025"/>
    <x v="25"/>
    <x v="7"/>
    <s v="Delhi"/>
    <x v="2"/>
    <s v="Office"/>
    <s v="Desk"/>
    <n v="4"/>
    <n v="1222.4000000000001"/>
    <n v="176.4"/>
    <x v="3"/>
    <x v="0"/>
    <x v="2"/>
    <n v="2025"/>
    <s v="Q3"/>
    <n v="0.14430628272251309"/>
    <s v="MEDIUM"/>
    <n v="0.2"/>
  </r>
  <r>
    <n v="10028"/>
    <s v="12-Sep-2025"/>
    <x v="26"/>
    <x v="4"/>
    <s v="Telangana"/>
    <x v="1"/>
    <s v="Stationery"/>
    <s v="Notebook"/>
    <n v="7"/>
    <n v="30573.9"/>
    <n v="3091.49"/>
    <x v="1"/>
    <x v="1"/>
    <x v="3"/>
    <n v="2025"/>
    <s v="Q3"/>
    <n v="0.10111533039618759"/>
    <s v="HIGH"/>
    <n v="0.1"/>
  </r>
  <r>
    <n v="10029"/>
    <s v="10-May-2025"/>
    <x v="27"/>
    <x v="4"/>
    <s v="Telangana"/>
    <x v="1"/>
    <s v="Paper"/>
    <s v="Printer Paper"/>
    <n v="2"/>
    <n v="4696"/>
    <n v="1365.05"/>
    <x v="3"/>
    <x v="0"/>
    <x v="6"/>
    <n v="2025"/>
    <s v="Q2"/>
    <n v="0.29068356047700167"/>
    <s v="MEDIUM"/>
    <n v="0.2"/>
  </r>
  <r>
    <n v="10030"/>
    <s v="12-Apr-2025"/>
    <x v="28"/>
    <x v="4"/>
    <s v="Telangana"/>
    <x v="2"/>
    <s v="Chairs"/>
    <s v="Chair"/>
    <n v="7"/>
    <n v="14017.5"/>
    <n v="2353.9"/>
    <x v="1"/>
    <x v="1"/>
    <x v="4"/>
    <n v="2025"/>
    <s v="Q2"/>
    <n v="0.16792580702693063"/>
    <s v="HIGH"/>
    <n v="0.1"/>
  </r>
  <r>
    <n v="10031"/>
    <s v="15-May-2025"/>
    <x v="29"/>
    <x v="6"/>
    <s v="Maharashtra"/>
    <x v="0"/>
    <s v="Accessories"/>
    <s v="Mouse"/>
    <n v="3"/>
    <n v="5346"/>
    <n v="1081.42"/>
    <x v="2"/>
    <x v="0"/>
    <x v="6"/>
    <n v="2025"/>
    <s v="Q2"/>
    <n v="0.20228582117471008"/>
    <s v="HIGH"/>
    <n v="0"/>
  </r>
  <r>
    <n v="10032"/>
    <s v="17-Aug-2025"/>
    <x v="30"/>
    <x v="4"/>
    <s v="Telangana"/>
    <x v="0"/>
    <s v="Accessories"/>
    <s v="Keyboard"/>
    <n v="8"/>
    <n v="33820"/>
    <n v="9625.23"/>
    <x v="4"/>
    <x v="2"/>
    <x v="5"/>
    <n v="2025"/>
    <s v="Q3"/>
    <n v="0.28460171496156117"/>
    <s v="HIGH"/>
    <n v="0.05"/>
  </r>
  <r>
    <n v="10033"/>
    <s v="17-Feb-2025"/>
    <x v="31"/>
    <x v="4"/>
    <s v="Telangana"/>
    <x v="2"/>
    <s v="Tables"/>
    <s v="Table"/>
    <n v="7"/>
    <n v="19331.2"/>
    <n v="4737.0600000000004"/>
    <x v="3"/>
    <x v="0"/>
    <x v="1"/>
    <n v="2025"/>
    <s v="Q1"/>
    <n v="0.24504738453898361"/>
    <s v="HIGH"/>
    <n v="0.2"/>
  </r>
  <r>
    <n v="10034"/>
    <s v="04-Nov-2025"/>
    <x v="29"/>
    <x v="5"/>
    <s v="Karnataka"/>
    <x v="1"/>
    <s v="Paper"/>
    <s v="Printer Paper"/>
    <n v="4"/>
    <n v="7612"/>
    <n v="1692.06"/>
    <x v="2"/>
    <x v="0"/>
    <x v="10"/>
    <n v="2025"/>
    <s v="Q4"/>
    <n v="0.22228849185496583"/>
    <s v="HIGH"/>
    <n v="0"/>
  </r>
  <r>
    <n v="10035"/>
    <s v="22-Dec-2025"/>
    <x v="32"/>
    <x v="6"/>
    <s v="Maharashtra"/>
    <x v="2"/>
    <s v="Tables"/>
    <s v="Table"/>
    <n v="2"/>
    <n v="3475.2"/>
    <n v="593.15"/>
    <x v="3"/>
    <x v="1"/>
    <x v="9"/>
    <n v="2025"/>
    <s v="Q4"/>
    <n v="0.1706808241252302"/>
    <s v="MEDIUM"/>
    <n v="0.2"/>
  </r>
  <r>
    <n v="10036"/>
    <s v="13-Sep-2025"/>
    <x v="33"/>
    <x v="0"/>
    <s v="Maharashtra"/>
    <x v="2"/>
    <s v="Living Room"/>
    <s v="Sofa"/>
    <n v="8"/>
    <n v="8998.4"/>
    <n v="1013.75"/>
    <x v="3"/>
    <x v="4"/>
    <x v="3"/>
    <n v="2025"/>
    <s v="Q3"/>
    <n v="0.11265891714082504"/>
    <s v="HIGH"/>
    <n v="0.2"/>
  </r>
  <r>
    <n v="10037"/>
    <s v="09-Jun-2025"/>
    <x v="34"/>
    <x v="7"/>
    <s v="Delhi"/>
    <x v="0"/>
    <s v="Computers"/>
    <s v="Laptop"/>
    <n v="7"/>
    <n v="15757"/>
    <n v="4295.7"/>
    <x v="2"/>
    <x v="0"/>
    <x v="11"/>
    <n v="2025"/>
    <s v="Q2"/>
    <n v="0.27262169194643648"/>
    <s v="HIGH"/>
    <n v="0"/>
  </r>
  <r>
    <n v="10038"/>
    <s v="12-Nov-2025"/>
    <x v="35"/>
    <x v="6"/>
    <s v="Maharashtra"/>
    <x v="1"/>
    <s v="Stationery"/>
    <s v="Pen"/>
    <n v="1"/>
    <n v="2385.4499999999998"/>
    <n v="535.27"/>
    <x v="4"/>
    <x v="4"/>
    <x v="10"/>
    <n v="2025"/>
    <s v="Q4"/>
    <n v="0.22438952818126559"/>
    <s v="MEDIUM"/>
    <n v="0.05"/>
  </r>
  <r>
    <n v="10039"/>
    <s v="22-Jul-2025"/>
    <x v="5"/>
    <x v="7"/>
    <s v="Delhi"/>
    <x v="0"/>
    <s v="Accessories"/>
    <s v="Mouse"/>
    <n v="1"/>
    <n v="2754.4"/>
    <n v="407.16"/>
    <x v="3"/>
    <x v="1"/>
    <x v="2"/>
    <n v="2025"/>
    <s v="Q3"/>
    <n v="0.14782166715074063"/>
    <s v="MEDIUM"/>
    <n v="0.2"/>
  </r>
  <r>
    <n v="10040"/>
    <s v="16-Jan-2025"/>
    <x v="5"/>
    <x v="5"/>
    <s v="Karnataka"/>
    <x v="0"/>
    <s v="Accessories"/>
    <s v="Mouse"/>
    <n v="8"/>
    <n v="6724.8"/>
    <n v="725.24"/>
    <x v="1"/>
    <x v="4"/>
    <x v="0"/>
    <n v="2025"/>
    <s v="Q1"/>
    <n v="0.10784558648584344"/>
    <s v="HIGH"/>
    <n v="0.1"/>
  </r>
  <r>
    <n v="10041"/>
    <s v="22-Oct-2025"/>
    <x v="36"/>
    <x v="3"/>
    <s v="Gujarat"/>
    <x v="2"/>
    <s v="Living Room"/>
    <s v="Sofa"/>
    <n v="5"/>
    <n v="15890.75"/>
    <n v="1971.64"/>
    <x v="0"/>
    <x v="1"/>
    <x v="7"/>
    <n v="2025"/>
    <s v="Q4"/>
    <n v="0.12407469754416878"/>
    <s v="HIGH"/>
    <n v="0.15"/>
  </r>
  <r>
    <n v="10042"/>
    <s v="06-Jul-2025"/>
    <x v="37"/>
    <x v="0"/>
    <s v="Maharashtra"/>
    <x v="0"/>
    <s v="Computers"/>
    <s v="Laptop"/>
    <n v="5"/>
    <n v="9085"/>
    <n v="2094.06"/>
    <x v="2"/>
    <x v="1"/>
    <x v="2"/>
    <n v="2025"/>
    <s v="Q3"/>
    <n v="0.23049642267473858"/>
    <s v="HIGH"/>
    <n v="0"/>
  </r>
  <r>
    <n v="10043"/>
    <s v="25-Aug-2025"/>
    <x v="38"/>
    <x v="3"/>
    <s v="Gujarat"/>
    <x v="0"/>
    <s v="Computers"/>
    <s v="Laptop"/>
    <n v="8"/>
    <n v="9651.2000000000007"/>
    <n v="1050.6600000000001"/>
    <x v="3"/>
    <x v="4"/>
    <x v="5"/>
    <n v="2025"/>
    <s v="Q3"/>
    <n v="0.10886314655172413"/>
    <s v="HIGH"/>
    <n v="0.2"/>
  </r>
  <r>
    <n v="10044"/>
    <s v="27-Jan-2025"/>
    <x v="39"/>
    <x v="2"/>
    <s v="West Bengal"/>
    <x v="1"/>
    <s v="Stationery"/>
    <s v="Pen"/>
    <n v="6"/>
    <n v="2988.6"/>
    <n v="889.64"/>
    <x v="0"/>
    <x v="4"/>
    <x v="0"/>
    <n v="2025"/>
    <s v="Q1"/>
    <n v="0.29767784246804524"/>
    <s v="MEDIUM"/>
    <n v="0.15"/>
  </r>
  <r>
    <n v="10045"/>
    <s v="02-Jul-2025"/>
    <x v="40"/>
    <x v="0"/>
    <s v="Maharashtra"/>
    <x v="0"/>
    <s v="Audio"/>
    <s v="Headphones"/>
    <n v="1"/>
    <n v="3711.1"/>
    <n v="847.54"/>
    <x v="0"/>
    <x v="3"/>
    <x v="2"/>
    <n v="2025"/>
    <s v="Q3"/>
    <n v="0.22837972568780146"/>
    <s v="MEDIUM"/>
    <n v="0.15"/>
  </r>
  <r>
    <n v="10046"/>
    <s v="07-Oct-2025"/>
    <x v="21"/>
    <x v="1"/>
    <s v="Tamil Nadu"/>
    <x v="1"/>
    <s v="Stationery"/>
    <s v="Notebook"/>
    <n v="3"/>
    <n v="2994"/>
    <n v="745.68"/>
    <x v="2"/>
    <x v="1"/>
    <x v="7"/>
    <n v="2025"/>
    <s v="Q4"/>
    <n v="0.2490581162324649"/>
    <s v="MEDIUM"/>
    <n v="0"/>
  </r>
  <r>
    <n v="10047"/>
    <s v="26-Sep-2025"/>
    <x v="41"/>
    <x v="3"/>
    <s v="Gujarat"/>
    <x v="2"/>
    <s v="Tables"/>
    <s v="Table"/>
    <n v="2"/>
    <n v="194.4"/>
    <n v="38.590000000000003"/>
    <x v="1"/>
    <x v="1"/>
    <x v="3"/>
    <n v="2025"/>
    <s v="Q3"/>
    <n v="0.19850823045267491"/>
    <s v="LOW"/>
    <n v="0.1"/>
  </r>
  <r>
    <n v="10048"/>
    <s v="17-Jul-2025"/>
    <x v="42"/>
    <x v="6"/>
    <s v="Maharashtra"/>
    <x v="2"/>
    <s v="Chairs"/>
    <s v="Chair"/>
    <n v="1"/>
    <n v="3480.3"/>
    <n v="978.14"/>
    <x v="1"/>
    <x v="2"/>
    <x v="2"/>
    <n v="2025"/>
    <s v="Q3"/>
    <n v="0.2810504841536649"/>
    <s v="MEDIUM"/>
    <n v="0.1"/>
  </r>
  <r>
    <n v="10049"/>
    <s v="04-Mar-2025"/>
    <x v="43"/>
    <x v="4"/>
    <s v="Telangana"/>
    <x v="1"/>
    <s v="Stationery"/>
    <s v="Notebook"/>
    <n v="7"/>
    <n v="8170.4"/>
    <n v="2153.15"/>
    <x v="3"/>
    <x v="0"/>
    <x v="8"/>
    <n v="2025"/>
    <s v="Q1"/>
    <n v="0.26353054929991188"/>
    <s v="HIGH"/>
    <n v="0.2"/>
  </r>
  <r>
    <n v="10050"/>
    <s v="09-Mar-2025"/>
    <x v="44"/>
    <x v="6"/>
    <s v="Maharashtra"/>
    <x v="1"/>
    <s v="Stationery"/>
    <s v="Pen"/>
    <n v="1"/>
    <n v="2074.8000000000002"/>
    <n v="294.98"/>
    <x v="4"/>
    <x v="1"/>
    <x v="8"/>
    <n v="2025"/>
    <s v="Q1"/>
    <n v="0.14217273954116058"/>
    <s v="MEDIUM"/>
    <n v="0.05"/>
  </r>
  <r>
    <n v="10051"/>
    <s v="03-Aug-2025"/>
    <x v="45"/>
    <x v="6"/>
    <s v="Maharashtra"/>
    <x v="2"/>
    <s v="Tables"/>
    <s v="Table"/>
    <n v="7"/>
    <n v="19304.95"/>
    <n v="4375.2299999999996"/>
    <x v="4"/>
    <x v="4"/>
    <x v="5"/>
    <n v="2025"/>
    <s v="Q3"/>
    <n v="0.22663772762944215"/>
    <s v="HIGH"/>
    <n v="0.05"/>
  </r>
  <r>
    <n v="10052"/>
    <s v="16-Aug-2025"/>
    <x v="46"/>
    <x v="6"/>
    <s v="Maharashtra"/>
    <x v="0"/>
    <s v="Accessories"/>
    <s v="Keyboard"/>
    <n v="2"/>
    <n v="3438"/>
    <n v="798.19"/>
    <x v="1"/>
    <x v="0"/>
    <x v="5"/>
    <n v="2025"/>
    <s v="Q3"/>
    <n v="0.23216695753344971"/>
    <s v="MEDIUM"/>
    <n v="0.1"/>
  </r>
  <r>
    <n v="10053"/>
    <s v="29-May-2025"/>
    <x v="47"/>
    <x v="7"/>
    <s v="Delhi"/>
    <x v="0"/>
    <s v="Accessories"/>
    <s v="Keyboard"/>
    <n v="4"/>
    <n v="8933.7999999999993"/>
    <n v="1996.53"/>
    <x v="4"/>
    <x v="3"/>
    <x v="6"/>
    <n v="2025"/>
    <s v="Q2"/>
    <n v="0.22348048982515839"/>
    <s v="HIGH"/>
    <n v="0.05"/>
  </r>
  <r>
    <n v="10054"/>
    <s v="18-Jun-2025"/>
    <x v="48"/>
    <x v="7"/>
    <s v="Delhi"/>
    <x v="2"/>
    <s v="Chairs"/>
    <s v="Chair"/>
    <n v="2"/>
    <n v="6679.3"/>
    <n v="737.36"/>
    <x v="0"/>
    <x v="4"/>
    <x v="11"/>
    <n v="2025"/>
    <s v="Q2"/>
    <n v="0.11039480185049332"/>
    <s v="HIGH"/>
    <n v="0.15"/>
  </r>
  <r>
    <n v="10055"/>
    <s v="07-May-2025"/>
    <x v="49"/>
    <x v="7"/>
    <s v="Delhi"/>
    <x v="0"/>
    <s v="Audio"/>
    <s v="Headphones"/>
    <n v="7"/>
    <n v="29691.9"/>
    <n v="2825.09"/>
    <x v="1"/>
    <x v="3"/>
    <x v="6"/>
    <n v="2025"/>
    <s v="Q2"/>
    <n v="9.5146824554844925E-2"/>
    <s v="HIGH"/>
    <n v="0.1"/>
  </r>
  <r>
    <n v="10056"/>
    <s v="25-Nov-2025"/>
    <x v="50"/>
    <x v="0"/>
    <s v="Maharashtra"/>
    <x v="2"/>
    <s v="Living Room"/>
    <s v="Sofa"/>
    <n v="8"/>
    <n v="12960"/>
    <n v="3431.26"/>
    <x v="1"/>
    <x v="4"/>
    <x v="10"/>
    <n v="2025"/>
    <s v="Q4"/>
    <n v="0.26475771604938275"/>
    <s v="HIGH"/>
    <n v="0.1"/>
  </r>
  <r>
    <n v="10057"/>
    <s v="23-Apr-2025"/>
    <x v="1"/>
    <x v="5"/>
    <s v="Karnataka"/>
    <x v="0"/>
    <s v="Accessories"/>
    <s v="Keyboard"/>
    <n v="8"/>
    <n v="37336"/>
    <n v="9255.8700000000008"/>
    <x v="2"/>
    <x v="0"/>
    <x v="4"/>
    <n v="2025"/>
    <s v="Q2"/>
    <n v="0.24790738161559892"/>
    <s v="HIGH"/>
    <n v="0"/>
  </r>
  <r>
    <n v="10058"/>
    <s v="20-Oct-2025"/>
    <x v="45"/>
    <x v="6"/>
    <s v="Maharashtra"/>
    <x v="2"/>
    <s v="Tables"/>
    <s v="Table"/>
    <n v="6"/>
    <n v="20252.099999999999"/>
    <n v="5153.0600000000004"/>
    <x v="0"/>
    <x v="4"/>
    <x v="7"/>
    <n v="2025"/>
    <s v="Q4"/>
    <n v="0.25444571180272668"/>
    <s v="HIGH"/>
    <n v="0.15"/>
  </r>
  <r>
    <n v="10059"/>
    <s v="28-Jan-2025"/>
    <x v="51"/>
    <x v="0"/>
    <s v="Maharashtra"/>
    <x v="2"/>
    <s v="Tables"/>
    <s v="Table"/>
    <n v="8"/>
    <n v="18414.400000000001"/>
    <n v="2837.75"/>
    <x v="0"/>
    <x v="4"/>
    <x v="0"/>
    <n v="2025"/>
    <s v="Q1"/>
    <n v="0.15410493961247718"/>
    <s v="HIGH"/>
    <n v="0.15"/>
  </r>
  <r>
    <n v="10060"/>
    <s v="18-Sep-2025"/>
    <x v="52"/>
    <x v="2"/>
    <s v="West Bengal"/>
    <x v="1"/>
    <s v="Paper"/>
    <s v="Printer Paper"/>
    <n v="2"/>
    <n v="5203.2"/>
    <n v="1126.23"/>
    <x v="3"/>
    <x v="4"/>
    <x v="3"/>
    <n v="2025"/>
    <s v="Q3"/>
    <n v="0.21644949261992621"/>
    <s v="HIGH"/>
    <n v="0.2"/>
  </r>
  <r>
    <n v="10061"/>
    <s v="25-May-2025"/>
    <x v="53"/>
    <x v="2"/>
    <s v="West Bengal"/>
    <x v="1"/>
    <s v="Paper"/>
    <s v="Printer Paper"/>
    <n v="1"/>
    <n v="1647.9"/>
    <n v="471.22"/>
    <x v="1"/>
    <x v="4"/>
    <x v="6"/>
    <n v="2025"/>
    <s v="Q2"/>
    <n v="0.28595181746465198"/>
    <s v="MEDIUM"/>
    <n v="0.1"/>
  </r>
  <r>
    <n v="10062"/>
    <s v="11-Feb-2025"/>
    <x v="45"/>
    <x v="0"/>
    <s v="Maharashtra"/>
    <x v="0"/>
    <s v="Audio"/>
    <s v="Headphones"/>
    <n v="7"/>
    <n v="25407.200000000001"/>
    <n v="7002.73"/>
    <x v="3"/>
    <x v="4"/>
    <x v="1"/>
    <n v="2025"/>
    <s v="Q1"/>
    <n v="0.27561990301961647"/>
    <s v="HIGH"/>
    <n v="0.2"/>
  </r>
  <r>
    <n v="10063"/>
    <s v="30-Aug-2025"/>
    <x v="54"/>
    <x v="2"/>
    <s v="West Bengal"/>
    <x v="2"/>
    <s v="Tables"/>
    <s v="Table"/>
    <n v="4"/>
    <n v="2010.2"/>
    <n v="518.52"/>
    <x v="4"/>
    <x v="2"/>
    <x v="5"/>
    <n v="2025"/>
    <s v="Q3"/>
    <n v="0.25794448313600638"/>
    <s v="MEDIUM"/>
    <n v="0.05"/>
  </r>
  <r>
    <n v="10064"/>
    <s v="06-Aug-2025"/>
    <x v="13"/>
    <x v="1"/>
    <s v="Tamil Nadu"/>
    <x v="2"/>
    <s v="Chairs"/>
    <s v="Chair"/>
    <n v="6"/>
    <n v="11422.8"/>
    <n v="3351.32"/>
    <x v="4"/>
    <x v="1"/>
    <x v="5"/>
    <n v="2025"/>
    <s v="Q3"/>
    <n v="0.29338866127394336"/>
    <s v="HIGH"/>
    <n v="0.05"/>
  </r>
  <r>
    <n v="10065"/>
    <s v="11-Oct-2025"/>
    <x v="55"/>
    <x v="5"/>
    <s v="Karnataka"/>
    <x v="0"/>
    <s v="Computers"/>
    <s v="Laptop"/>
    <n v="2"/>
    <n v="170"/>
    <n v="24.51"/>
    <x v="0"/>
    <x v="4"/>
    <x v="7"/>
    <n v="2025"/>
    <s v="Q4"/>
    <n v="0.14417647058823529"/>
    <s v="LOW"/>
    <n v="0.15"/>
  </r>
  <r>
    <n v="10066"/>
    <s v="04-Jan-2025"/>
    <x v="32"/>
    <x v="7"/>
    <s v="Delhi"/>
    <x v="2"/>
    <s v="Living Room"/>
    <s v="Sofa"/>
    <n v="8"/>
    <n v="4399.6000000000004"/>
    <n v="637.58000000000004"/>
    <x v="0"/>
    <x v="2"/>
    <x v="0"/>
    <n v="2025"/>
    <s v="Q1"/>
    <n v="0.14491771979270843"/>
    <s v="MEDIUM"/>
    <n v="0.15"/>
  </r>
  <r>
    <n v="10067"/>
    <s v="13-Dec-2025"/>
    <x v="56"/>
    <x v="1"/>
    <s v="Tamil Nadu"/>
    <x v="0"/>
    <s v="Accessories"/>
    <s v="Mouse"/>
    <n v="7"/>
    <n v="2122.4"/>
    <n v="513.37"/>
    <x v="3"/>
    <x v="0"/>
    <x v="9"/>
    <n v="2025"/>
    <s v="Q4"/>
    <n v="0.24188183188842818"/>
    <s v="MEDIUM"/>
    <n v="0.2"/>
  </r>
  <r>
    <n v="10068"/>
    <s v="30-Jan-2025"/>
    <x v="51"/>
    <x v="6"/>
    <s v="Maharashtra"/>
    <x v="2"/>
    <s v="Living Room"/>
    <s v="Sofa"/>
    <n v="3"/>
    <n v="13842.45"/>
    <n v="3461.85"/>
    <x v="4"/>
    <x v="4"/>
    <x v="0"/>
    <n v="2025"/>
    <s v="Q1"/>
    <n v="0.2500893989142095"/>
    <s v="HIGH"/>
    <n v="0.05"/>
  </r>
  <r>
    <n v="10069"/>
    <s v="27-Nov-2025"/>
    <x v="57"/>
    <x v="3"/>
    <s v="Gujarat"/>
    <x v="0"/>
    <s v="Audio"/>
    <s v="Headphones"/>
    <n v="8"/>
    <n v="8251.2000000000007"/>
    <n v="2002.86"/>
    <x v="1"/>
    <x v="0"/>
    <x v="10"/>
    <n v="2025"/>
    <s v="Q4"/>
    <n v="0.2427356020942408"/>
    <s v="HIGH"/>
    <n v="0.1"/>
  </r>
  <r>
    <n v="10070"/>
    <s v="18-Feb-2025"/>
    <x v="58"/>
    <x v="0"/>
    <s v="Maharashtra"/>
    <x v="0"/>
    <s v="Accessories"/>
    <s v="Keyboard"/>
    <n v="6"/>
    <n v="15578.1"/>
    <n v="2227.19"/>
    <x v="4"/>
    <x v="2"/>
    <x v="1"/>
    <n v="2025"/>
    <s v="Q1"/>
    <n v="0.14296929664079702"/>
    <s v="HIGH"/>
    <n v="0.05"/>
  </r>
  <r>
    <n v="10071"/>
    <s v="02-Jan-2025"/>
    <x v="59"/>
    <x v="4"/>
    <s v="Telangana"/>
    <x v="1"/>
    <s v="Stationery"/>
    <s v="Notebook"/>
    <n v="8"/>
    <n v="5104"/>
    <n v="1422.53"/>
    <x v="2"/>
    <x v="3"/>
    <x v="0"/>
    <n v="2025"/>
    <s v="Q1"/>
    <n v="0.27870885579937305"/>
    <s v="HIGH"/>
    <n v="0"/>
  </r>
  <r>
    <n v="10072"/>
    <s v="09-Dec-2025"/>
    <x v="16"/>
    <x v="0"/>
    <s v="Maharashtra"/>
    <x v="0"/>
    <s v="Accessories"/>
    <s v="Keyboard"/>
    <n v="5"/>
    <n v="508"/>
    <n v="139.16999999999999"/>
    <x v="3"/>
    <x v="0"/>
    <x v="9"/>
    <n v="2025"/>
    <s v="Q4"/>
    <n v="0.27395669291338581"/>
    <s v="LOW"/>
    <n v="0.2"/>
  </r>
  <r>
    <n v="10073"/>
    <s v="15-Oct-2025"/>
    <x v="60"/>
    <x v="1"/>
    <s v="Tamil Nadu"/>
    <x v="1"/>
    <s v="Stationery"/>
    <s v="Pen"/>
    <n v="5"/>
    <n v="3910"/>
    <n v="899.87"/>
    <x v="0"/>
    <x v="1"/>
    <x v="7"/>
    <n v="2025"/>
    <s v="Q4"/>
    <n v="0.23014578005115088"/>
    <s v="MEDIUM"/>
    <n v="0.15"/>
  </r>
  <r>
    <n v="10074"/>
    <s v="23-Oct-2025"/>
    <x v="61"/>
    <x v="2"/>
    <s v="West Bengal"/>
    <x v="0"/>
    <s v="Computers"/>
    <s v="Laptop"/>
    <n v="8"/>
    <n v="11349.2"/>
    <n v="3334.09"/>
    <x v="0"/>
    <x v="0"/>
    <x v="7"/>
    <n v="2025"/>
    <s v="Q4"/>
    <n v="0.29377312938356887"/>
    <s v="HIGH"/>
    <n v="0.15"/>
  </r>
  <r>
    <n v="10075"/>
    <s v="20-Sep-2025"/>
    <x v="62"/>
    <x v="6"/>
    <s v="Maharashtra"/>
    <x v="1"/>
    <s v="Stationery"/>
    <s v="Notebook"/>
    <n v="1"/>
    <n v="3758.4"/>
    <n v="752.68"/>
    <x v="1"/>
    <x v="3"/>
    <x v="3"/>
    <n v="2025"/>
    <s v="Q3"/>
    <n v="0.20026607066836949"/>
    <s v="MEDIUM"/>
    <n v="0.1"/>
  </r>
  <r>
    <n v="10076"/>
    <s v="08-Jun-2025"/>
    <x v="63"/>
    <x v="6"/>
    <s v="Maharashtra"/>
    <x v="2"/>
    <s v="Tables"/>
    <s v="Table"/>
    <n v="3"/>
    <n v="13977"/>
    <n v="1671.87"/>
    <x v="2"/>
    <x v="1"/>
    <x v="11"/>
    <n v="2025"/>
    <s v="Q2"/>
    <n v="0.11961579738141231"/>
    <s v="HIGH"/>
    <n v="0"/>
  </r>
  <r>
    <n v="10077"/>
    <s v="07-Apr-2025"/>
    <x v="64"/>
    <x v="6"/>
    <s v="Maharashtra"/>
    <x v="2"/>
    <s v="Office"/>
    <s v="Desk"/>
    <n v="5"/>
    <n v="535.5"/>
    <n v="109.55"/>
    <x v="0"/>
    <x v="1"/>
    <x v="4"/>
    <n v="2025"/>
    <s v="Q2"/>
    <n v="0.20457516339869281"/>
    <s v="LOW"/>
    <n v="0.15"/>
  </r>
  <r>
    <n v="10078"/>
    <s v="30-Jul-2025"/>
    <x v="65"/>
    <x v="0"/>
    <s v="Maharashtra"/>
    <x v="1"/>
    <s v="Stationery"/>
    <s v="Notebook"/>
    <n v="5"/>
    <n v="16494.25"/>
    <n v="4660.3500000000004"/>
    <x v="0"/>
    <x v="0"/>
    <x v="2"/>
    <n v="2025"/>
    <s v="Q3"/>
    <n v="0.28254391681949775"/>
    <s v="HIGH"/>
    <n v="0.15"/>
  </r>
  <r>
    <n v="10079"/>
    <s v="12-May-2025"/>
    <x v="32"/>
    <x v="5"/>
    <s v="Karnataka"/>
    <x v="1"/>
    <s v="Stationery"/>
    <s v="Marker"/>
    <n v="2"/>
    <n v="1001.3"/>
    <n v="161.01"/>
    <x v="4"/>
    <x v="4"/>
    <x v="6"/>
    <n v="2025"/>
    <s v="Q2"/>
    <n v="0.1608009587536203"/>
    <s v="MEDIUM"/>
    <n v="0.05"/>
  </r>
  <r>
    <n v="10080"/>
    <s v="04-Sep-2025"/>
    <x v="43"/>
    <x v="5"/>
    <s v="Karnataka"/>
    <x v="2"/>
    <s v="Chairs"/>
    <s v="Chair"/>
    <n v="8"/>
    <n v="18560"/>
    <n v="1847.49"/>
    <x v="3"/>
    <x v="4"/>
    <x v="3"/>
    <n v="2025"/>
    <s v="Q3"/>
    <n v="9.9541487068965512E-2"/>
    <s v="HIGH"/>
    <n v="0.2"/>
  </r>
  <r>
    <n v="10081"/>
    <s v="15-Jul-2025"/>
    <x v="66"/>
    <x v="1"/>
    <s v="Tamil Nadu"/>
    <x v="2"/>
    <s v="Office"/>
    <s v="Desk"/>
    <n v="7"/>
    <n v="26264.7"/>
    <n v="6963.04"/>
    <x v="1"/>
    <x v="2"/>
    <x v="2"/>
    <n v="2025"/>
    <s v="Q3"/>
    <n v="0.26511020495189358"/>
    <s v="HIGH"/>
    <n v="0.1"/>
  </r>
  <r>
    <n v="10082"/>
    <s v="08-Jul-2025"/>
    <x v="66"/>
    <x v="0"/>
    <s v="Maharashtra"/>
    <x v="0"/>
    <s v="Computers"/>
    <s v="Laptop"/>
    <n v="8"/>
    <n v="19032"/>
    <n v="2578.4299999999998"/>
    <x v="2"/>
    <x v="3"/>
    <x v="2"/>
    <n v="2025"/>
    <s v="Q3"/>
    <n v="0.13547866750735602"/>
    <s v="HIGH"/>
    <n v="0"/>
  </r>
  <r>
    <n v="10083"/>
    <s v="04-Mar-2025"/>
    <x v="66"/>
    <x v="7"/>
    <s v="Delhi"/>
    <x v="2"/>
    <s v="Living Room"/>
    <s v="Sofa"/>
    <n v="3"/>
    <n v="4964.7"/>
    <n v="1150.82"/>
    <x v="4"/>
    <x v="2"/>
    <x v="8"/>
    <n v="2025"/>
    <s v="Q1"/>
    <n v="0.23180051161198059"/>
    <s v="MEDIUM"/>
    <n v="0.05"/>
  </r>
  <r>
    <n v="10084"/>
    <s v="02-Nov-2025"/>
    <x v="67"/>
    <x v="5"/>
    <s v="Karnataka"/>
    <x v="0"/>
    <s v="Accessories"/>
    <s v="Keyboard"/>
    <n v="4"/>
    <n v="8312.4"/>
    <n v="1886.27"/>
    <x v="1"/>
    <x v="4"/>
    <x v="10"/>
    <n v="2025"/>
    <s v="Q4"/>
    <n v="0.22692242914200472"/>
    <s v="HIGH"/>
    <n v="0.1"/>
  </r>
  <r>
    <n v="10085"/>
    <s v="05-Dec-2025"/>
    <x v="10"/>
    <x v="5"/>
    <s v="Karnataka"/>
    <x v="0"/>
    <s v="Computers"/>
    <s v="Laptop"/>
    <n v="4"/>
    <n v="11464.8"/>
    <n v="2523.17"/>
    <x v="0"/>
    <x v="3"/>
    <x v="9"/>
    <n v="2025"/>
    <s v="Q4"/>
    <n v="0.22007972228037123"/>
    <s v="HIGH"/>
    <n v="0.15"/>
  </r>
  <r>
    <n v="10086"/>
    <s v="24-Mar-2025"/>
    <x v="68"/>
    <x v="7"/>
    <s v="Delhi"/>
    <x v="0"/>
    <s v="Computers"/>
    <s v="Laptop"/>
    <n v="2"/>
    <n v="5977.6"/>
    <n v="660.33"/>
    <x v="3"/>
    <x v="4"/>
    <x v="8"/>
    <n v="2025"/>
    <s v="Q1"/>
    <n v="0.11046741167023555"/>
    <s v="HIGH"/>
    <n v="0.2"/>
  </r>
  <r>
    <n v="10087"/>
    <s v="10-Aug-2025"/>
    <x v="69"/>
    <x v="1"/>
    <s v="Tamil Nadu"/>
    <x v="0"/>
    <s v="Computers"/>
    <s v="Laptop"/>
    <n v="4"/>
    <n v="2682"/>
    <n v="483.48"/>
    <x v="1"/>
    <x v="0"/>
    <x v="5"/>
    <n v="2025"/>
    <s v="Q3"/>
    <n v="0.18026845637583894"/>
    <s v="MEDIUM"/>
    <n v="0.1"/>
  </r>
  <r>
    <n v="10088"/>
    <s v="05-Mar-2025"/>
    <x v="70"/>
    <x v="3"/>
    <s v="Gujarat"/>
    <x v="0"/>
    <s v="Audio"/>
    <s v="Headphones"/>
    <n v="6"/>
    <n v="7879.5"/>
    <n v="762.73"/>
    <x v="0"/>
    <x v="0"/>
    <x v="8"/>
    <n v="2025"/>
    <s v="Q1"/>
    <n v="9.679928929500603E-2"/>
    <s v="HIGH"/>
    <n v="0.15"/>
  </r>
  <r>
    <n v="10089"/>
    <s v="21-Mar-2025"/>
    <x v="71"/>
    <x v="7"/>
    <s v="Delhi"/>
    <x v="2"/>
    <s v="Tables"/>
    <s v="Table"/>
    <n v="6"/>
    <n v="16710"/>
    <n v="1395.19"/>
    <x v="2"/>
    <x v="1"/>
    <x v="8"/>
    <n v="2025"/>
    <s v="Q1"/>
    <n v="8.3494314781567922E-2"/>
    <s v="HIGH"/>
    <n v="0"/>
  </r>
  <r>
    <n v="10090"/>
    <s v="20-Sep-2025"/>
    <x v="32"/>
    <x v="1"/>
    <s v="Tamil Nadu"/>
    <x v="2"/>
    <s v="Living Room"/>
    <s v="Sofa"/>
    <n v="6"/>
    <n v="21614.400000000001"/>
    <n v="3707.3"/>
    <x v="3"/>
    <x v="0"/>
    <x v="3"/>
    <n v="2025"/>
    <s v="Q3"/>
    <n v="0.17151991265082536"/>
    <s v="HIGH"/>
    <n v="0.2"/>
  </r>
  <r>
    <n v="10091"/>
    <s v="02-Feb-2025"/>
    <x v="72"/>
    <x v="0"/>
    <s v="Maharashtra"/>
    <x v="2"/>
    <s v="Office"/>
    <s v="Desk"/>
    <n v="3"/>
    <n v="12807"/>
    <n v="3409.33"/>
    <x v="2"/>
    <x v="1"/>
    <x v="1"/>
    <n v="2025"/>
    <s v="Q1"/>
    <n v="0.26620832357304597"/>
    <s v="HIGH"/>
    <n v="0"/>
  </r>
  <r>
    <n v="10092"/>
    <s v="06-Apr-2025"/>
    <x v="73"/>
    <x v="6"/>
    <s v="Maharashtra"/>
    <x v="0"/>
    <s v="Computers"/>
    <s v="Laptop"/>
    <n v="1"/>
    <n v="1741"/>
    <n v="264.25"/>
    <x v="2"/>
    <x v="1"/>
    <x v="4"/>
    <n v="2025"/>
    <s v="Q2"/>
    <n v="0.15178058587018955"/>
    <s v="MEDIUM"/>
    <n v="0"/>
  </r>
  <r>
    <n v="10093"/>
    <s v="13-Apr-2025"/>
    <x v="46"/>
    <x v="5"/>
    <s v="Karnataka"/>
    <x v="1"/>
    <s v="Stationery"/>
    <s v="Pen"/>
    <n v="4"/>
    <n v="6931.2"/>
    <n v="907.33"/>
    <x v="3"/>
    <x v="4"/>
    <x v="4"/>
    <n v="2025"/>
    <s v="Q2"/>
    <n v="0.13090518236380425"/>
    <s v="HIGH"/>
    <n v="0.2"/>
  </r>
  <r>
    <n v="10094"/>
    <s v="23-Jul-2025"/>
    <x v="74"/>
    <x v="3"/>
    <s v="Gujarat"/>
    <x v="0"/>
    <s v="Audio"/>
    <s v="Headphones"/>
    <n v="6"/>
    <n v="26622"/>
    <n v="7585.85"/>
    <x v="1"/>
    <x v="4"/>
    <x v="2"/>
    <n v="2025"/>
    <s v="Q3"/>
    <n v="0.28494666065659979"/>
    <s v="HIGH"/>
    <n v="0.1"/>
  </r>
  <r>
    <n v="10095"/>
    <s v="01-Jul-2025"/>
    <x v="22"/>
    <x v="2"/>
    <s v="West Bengal"/>
    <x v="2"/>
    <s v="Living Room"/>
    <s v="Sofa"/>
    <n v="6"/>
    <n v="11475"/>
    <n v="2548.42"/>
    <x v="0"/>
    <x v="2"/>
    <x v="2"/>
    <n v="2025"/>
    <s v="Q3"/>
    <n v="0.22208453159041394"/>
    <s v="HIGH"/>
    <n v="0.15"/>
  </r>
  <r>
    <n v="10096"/>
    <s v="19-Mar-2025"/>
    <x v="75"/>
    <x v="7"/>
    <s v="Delhi"/>
    <x v="0"/>
    <s v="Accessories"/>
    <s v="Keyboard"/>
    <n v="1"/>
    <n v="3069.6"/>
    <n v="355.3"/>
    <x v="3"/>
    <x v="4"/>
    <x v="8"/>
    <n v="2025"/>
    <s v="Q1"/>
    <n v="0.11574798019285901"/>
    <s v="MEDIUM"/>
    <n v="0.2"/>
  </r>
  <r>
    <n v="10097"/>
    <s v="06-Feb-2025"/>
    <x v="11"/>
    <x v="1"/>
    <s v="Tamil Nadu"/>
    <x v="0"/>
    <s v="Audio"/>
    <s v="Headphones"/>
    <n v="7"/>
    <n v="23954"/>
    <n v="2537.11"/>
    <x v="2"/>
    <x v="3"/>
    <x v="1"/>
    <n v="2025"/>
    <s v="Q1"/>
    <n v="0.10591592218418636"/>
    <s v="HIGH"/>
    <n v="0"/>
  </r>
  <r>
    <n v="10098"/>
    <s v="06-Aug-2025"/>
    <x v="22"/>
    <x v="6"/>
    <s v="Maharashtra"/>
    <x v="2"/>
    <s v="Office"/>
    <s v="Desk"/>
    <n v="2"/>
    <n v="3570"/>
    <n v="523.82000000000005"/>
    <x v="2"/>
    <x v="1"/>
    <x v="5"/>
    <n v="2025"/>
    <s v="Q3"/>
    <n v="0.14672829131652662"/>
    <s v="MEDIUM"/>
    <n v="0"/>
  </r>
  <r>
    <n v="10099"/>
    <s v="26-Apr-2025"/>
    <x v="76"/>
    <x v="1"/>
    <s v="Tamil Nadu"/>
    <x v="2"/>
    <s v="Chairs"/>
    <s v="Chair"/>
    <n v="4"/>
    <n v="16816.400000000001"/>
    <n v="1455.1"/>
    <x v="0"/>
    <x v="2"/>
    <x v="4"/>
    <n v="2025"/>
    <s v="Q2"/>
    <n v="8.6528626816678944E-2"/>
    <s v="HIGH"/>
    <n v="0.15"/>
  </r>
  <r>
    <n v="10100"/>
    <s v="27-Aug-2025"/>
    <x v="77"/>
    <x v="2"/>
    <s v="West Bengal"/>
    <x v="0"/>
    <s v="Audio"/>
    <s v="Headphones"/>
    <n v="3"/>
    <n v="2001.75"/>
    <n v="297.33999999999997"/>
    <x v="0"/>
    <x v="2"/>
    <x v="5"/>
    <n v="2025"/>
    <s v="Q3"/>
    <n v="0.14854002747595851"/>
    <s v="MEDIUM"/>
    <n v="0.15"/>
  </r>
  <r>
    <n v="10101"/>
    <s v="31-Dec-2025"/>
    <x v="58"/>
    <x v="2"/>
    <s v="West Bengal"/>
    <x v="2"/>
    <s v="Chairs"/>
    <s v="Chair"/>
    <n v="7"/>
    <n v="3332"/>
    <n v="883.48"/>
    <x v="0"/>
    <x v="4"/>
    <x v="9"/>
    <n v="2025"/>
    <s v="Q4"/>
    <n v="0.26515006002400959"/>
    <s v="MEDIUM"/>
    <n v="0.15"/>
  </r>
  <r>
    <n v="10102"/>
    <s v="23-Jul-2025"/>
    <x v="61"/>
    <x v="0"/>
    <s v="Maharashtra"/>
    <x v="1"/>
    <s v="Stationery"/>
    <s v="Notebook"/>
    <n v="4"/>
    <n v="15348.2"/>
    <n v="3217.52"/>
    <x v="4"/>
    <x v="3"/>
    <x v="2"/>
    <n v="2025"/>
    <s v="Q3"/>
    <n v="0.20963500605934246"/>
    <s v="HIGH"/>
    <n v="0.05"/>
  </r>
  <r>
    <n v="10103"/>
    <s v="21-Oct-2025"/>
    <x v="78"/>
    <x v="2"/>
    <s v="West Bengal"/>
    <x v="0"/>
    <s v="Computers"/>
    <s v="Laptop"/>
    <n v="3"/>
    <n v="5586.3"/>
    <n v="1116.25"/>
    <x v="1"/>
    <x v="2"/>
    <x v="7"/>
    <n v="2025"/>
    <s v="Q4"/>
    <n v="0.19981920054418845"/>
    <s v="HIGH"/>
    <n v="0.1"/>
  </r>
  <r>
    <n v="10104"/>
    <s v="04-Jul-2025"/>
    <x v="43"/>
    <x v="6"/>
    <s v="Maharashtra"/>
    <x v="2"/>
    <s v="Living Room"/>
    <s v="Sofa"/>
    <n v="3"/>
    <n v="9351"/>
    <n v="1190.31"/>
    <x v="2"/>
    <x v="0"/>
    <x v="2"/>
    <n v="2025"/>
    <s v="Q3"/>
    <n v="0.12729226820660891"/>
    <s v="HIGH"/>
    <n v="0"/>
  </r>
  <r>
    <n v="10105"/>
    <s v="16-Feb-2025"/>
    <x v="79"/>
    <x v="2"/>
    <s v="West Bengal"/>
    <x v="1"/>
    <s v="Stationery"/>
    <s v="Marker"/>
    <n v="2"/>
    <n v="9412.6"/>
    <n v="867.14"/>
    <x v="4"/>
    <x v="3"/>
    <x v="1"/>
    <n v="2025"/>
    <s v="Q1"/>
    <n v="9.2125448866413107E-2"/>
    <s v="HIGH"/>
    <n v="0.05"/>
  </r>
  <r>
    <n v="10106"/>
    <s v="13-Nov-2025"/>
    <x v="80"/>
    <x v="3"/>
    <s v="Gujarat"/>
    <x v="0"/>
    <s v="Accessories"/>
    <s v="Keyboard"/>
    <n v="6"/>
    <n v="10600.2"/>
    <n v="2686.03"/>
    <x v="1"/>
    <x v="1"/>
    <x v="10"/>
    <n v="2025"/>
    <s v="Q4"/>
    <n v="0.25339427557970606"/>
    <s v="HIGH"/>
    <n v="0.1"/>
  </r>
  <r>
    <n v="10107"/>
    <s v="31-Mar-2025"/>
    <x v="81"/>
    <x v="4"/>
    <s v="Telangana"/>
    <x v="1"/>
    <s v="Stationery"/>
    <s v="Marker"/>
    <n v="7"/>
    <n v="1405.6"/>
    <n v="333.5"/>
    <x v="3"/>
    <x v="0"/>
    <x v="8"/>
    <n v="2025"/>
    <s v="Q1"/>
    <n v="0.23726522481502563"/>
    <s v="MEDIUM"/>
    <n v="0.2"/>
  </r>
  <r>
    <n v="10108"/>
    <s v="14-Apr-2025"/>
    <x v="61"/>
    <x v="2"/>
    <s v="West Bengal"/>
    <x v="0"/>
    <s v="Computers"/>
    <s v="Laptop"/>
    <n v="1"/>
    <n v="4341"/>
    <n v="1238.32"/>
    <x v="2"/>
    <x v="0"/>
    <x v="4"/>
    <n v="2025"/>
    <s v="Q2"/>
    <n v="0.28526146049297396"/>
    <s v="MEDIUM"/>
    <n v="0"/>
  </r>
  <r>
    <n v="10109"/>
    <s v="26-Nov-2025"/>
    <x v="82"/>
    <x v="3"/>
    <s v="Gujarat"/>
    <x v="1"/>
    <s v="Stationery"/>
    <s v="Marker"/>
    <n v="1"/>
    <n v="1799.1"/>
    <n v="510.42"/>
    <x v="1"/>
    <x v="4"/>
    <x v="10"/>
    <n v="2025"/>
    <s v="Q4"/>
    <n v="0.28370852092713028"/>
    <s v="MEDIUM"/>
    <n v="0.1"/>
  </r>
  <r>
    <n v="10110"/>
    <s v="01-Jan-2025"/>
    <x v="72"/>
    <x v="5"/>
    <s v="Karnataka"/>
    <x v="0"/>
    <s v="Computers"/>
    <s v="Laptop"/>
    <n v="6"/>
    <n v="2490.9"/>
    <n v="462.59"/>
    <x v="4"/>
    <x v="4"/>
    <x v="0"/>
    <n v="2025"/>
    <s v="Q1"/>
    <n v="0.18571199164960456"/>
    <s v="MEDIUM"/>
    <n v="0.05"/>
  </r>
  <r>
    <n v="10111"/>
    <s v="07-Nov-2025"/>
    <x v="83"/>
    <x v="4"/>
    <s v="Telangana"/>
    <x v="1"/>
    <s v="Paper"/>
    <s v="Printer Paper"/>
    <n v="1"/>
    <n v="370"/>
    <n v="64.760000000000005"/>
    <x v="2"/>
    <x v="4"/>
    <x v="10"/>
    <n v="2025"/>
    <s v="Q4"/>
    <n v="0.17502702702702705"/>
    <s v="LOW"/>
    <n v="0"/>
  </r>
  <r>
    <n v="10112"/>
    <s v="28-Nov-2025"/>
    <x v="51"/>
    <x v="4"/>
    <s v="Telangana"/>
    <x v="1"/>
    <s v="Paper"/>
    <s v="Printer Paper"/>
    <n v="2"/>
    <n v="6694.2"/>
    <n v="1714.96"/>
    <x v="1"/>
    <x v="1"/>
    <x v="10"/>
    <n v="2025"/>
    <s v="Q4"/>
    <n v="0.25618595201816496"/>
    <s v="HIGH"/>
    <n v="0.1"/>
  </r>
  <r>
    <n v="10113"/>
    <s v="16-Apr-2025"/>
    <x v="84"/>
    <x v="1"/>
    <s v="Tamil Nadu"/>
    <x v="2"/>
    <s v="Chairs"/>
    <s v="Chair"/>
    <n v="4"/>
    <n v="5230.8"/>
    <n v="818.23"/>
    <x v="1"/>
    <x v="2"/>
    <x v="4"/>
    <n v="2025"/>
    <s v="Q2"/>
    <n v="0.15642540337998012"/>
    <s v="HIGH"/>
    <n v="0.1"/>
  </r>
  <r>
    <n v="10114"/>
    <s v="25-Mar-2025"/>
    <x v="85"/>
    <x v="0"/>
    <s v="Maharashtra"/>
    <x v="2"/>
    <s v="Office"/>
    <s v="Desk"/>
    <n v="6"/>
    <n v="17334.900000000001"/>
    <n v="1639.1"/>
    <x v="0"/>
    <x v="3"/>
    <x v="8"/>
    <n v="2025"/>
    <s v="Q1"/>
    <n v="9.4554915228815845E-2"/>
    <s v="HIGH"/>
    <n v="0.15"/>
  </r>
  <r>
    <n v="10115"/>
    <s v="26-May-2025"/>
    <x v="86"/>
    <x v="7"/>
    <s v="Delhi"/>
    <x v="1"/>
    <s v="Stationery"/>
    <s v="Marker"/>
    <n v="8"/>
    <n v="33804"/>
    <n v="8371.91"/>
    <x v="1"/>
    <x v="1"/>
    <x v="6"/>
    <n v="2025"/>
    <s v="Q2"/>
    <n v="0.24766033605490473"/>
    <s v="HIGH"/>
    <n v="0.1"/>
  </r>
  <r>
    <n v="10116"/>
    <s v="04-Sep-2025"/>
    <x v="87"/>
    <x v="1"/>
    <s v="Tamil Nadu"/>
    <x v="1"/>
    <s v="Stationery"/>
    <s v="Notebook"/>
    <n v="1"/>
    <n v="1957"/>
    <n v="377.31"/>
    <x v="2"/>
    <x v="2"/>
    <x v="3"/>
    <n v="2025"/>
    <s v="Q3"/>
    <n v="0.19280020439448134"/>
    <s v="MEDIUM"/>
    <n v="0"/>
  </r>
  <r>
    <n v="10117"/>
    <s v="30-Jan-2025"/>
    <x v="88"/>
    <x v="0"/>
    <s v="Maharashtra"/>
    <x v="2"/>
    <s v="Chairs"/>
    <s v="Chair"/>
    <n v="1"/>
    <n v="2247.6999999999998"/>
    <n v="445.42"/>
    <x v="4"/>
    <x v="0"/>
    <x v="0"/>
    <n v="2025"/>
    <s v="Q1"/>
    <n v="0.19816701517106378"/>
    <s v="MEDIUM"/>
    <n v="0.05"/>
  </r>
  <r>
    <n v="10118"/>
    <s v="18-Aug-2025"/>
    <x v="89"/>
    <x v="0"/>
    <s v="Maharashtra"/>
    <x v="2"/>
    <s v="Chairs"/>
    <s v="Chair"/>
    <n v="7"/>
    <n v="32378.85"/>
    <n v="3380.61"/>
    <x v="4"/>
    <x v="4"/>
    <x v="5"/>
    <n v="2025"/>
    <s v="Q3"/>
    <n v="0.10440797001746512"/>
    <s v="HIGH"/>
    <n v="0.05"/>
  </r>
  <r>
    <n v="10119"/>
    <s v="10-Sep-2025"/>
    <x v="14"/>
    <x v="0"/>
    <s v="Maharashtra"/>
    <x v="2"/>
    <s v="Chairs"/>
    <s v="Chair"/>
    <n v="4"/>
    <n v="6127.2"/>
    <n v="1332.12"/>
    <x v="1"/>
    <x v="0"/>
    <x v="3"/>
    <n v="2025"/>
    <s v="Q3"/>
    <n v="0.21741088915001958"/>
    <s v="HIGH"/>
    <n v="0.1"/>
  </r>
  <r>
    <n v="10120"/>
    <s v="31-Mar-2025"/>
    <x v="90"/>
    <x v="2"/>
    <s v="West Bengal"/>
    <x v="1"/>
    <s v="Stationery"/>
    <s v="Marker"/>
    <n v="4"/>
    <n v="13805.4"/>
    <n v="2932.2"/>
    <x v="4"/>
    <x v="0"/>
    <x v="8"/>
    <n v="2025"/>
    <s v="Q1"/>
    <n v="0.21239514972402102"/>
    <s v="HIGH"/>
    <n v="0.05"/>
  </r>
  <r>
    <n v="10121"/>
    <s v="14-Mar-2025"/>
    <x v="91"/>
    <x v="5"/>
    <s v="Karnataka"/>
    <x v="2"/>
    <s v="Living Room"/>
    <s v="Sofa"/>
    <n v="2"/>
    <n v="3693.6"/>
    <n v="978.96"/>
    <x v="4"/>
    <x v="2"/>
    <x v="8"/>
    <n v="2025"/>
    <s v="Q1"/>
    <n v="0.26504223521767384"/>
    <s v="MEDIUM"/>
    <n v="0.05"/>
  </r>
  <r>
    <n v="10122"/>
    <s v="18-Jan-2025"/>
    <x v="55"/>
    <x v="1"/>
    <s v="Tamil Nadu"/>
    <x v="1"/>
    <s v="Stationery"/>
    <s v="Notebook"/>
    <n v="1"/>
    <n v="4354.2"/>
    <n v="490.98"/>
    <x v="1"/>
    <x v="4"/>
    <x v="0"/>
    <n v="2025"/>
    <s v="Q1"/>
    <n v="0.11276009370263194"/>
    <s v="MEDIUM"/>
    <n v="0.1"/>
  </r>
  <r>
    <n v="10123"/>
    <s v="05-Jun-2025"/>
    <x v="11"/>
    <x v="4"/>
    <s v="Telangana"/>
    <x v="2"/>
    <s v="Chairs"/>
    <s v="Chair"/>
    <n v="2"/>
    <n v="7617.7"/>
    <n v="1853.82"/>
    <x v="0"/>
    <x v="2"/>
    <x v="11"/>
    <n v="2025"/>
    <s v="Q2"/>
    <n v="0.24335691875500479"/>
    <s v="HIGH"/>
    <n v="0.15"/>
  </r>
  <r>
    <n v="10124"/>
    <s v="10-Sep-2025"/>
    <x v="92"/>
    <x v="4"/>
    <s v="Telangana"/>
    <x v="2"/>
    <s v="Tables"/>
    <s v="Table"/>
    <n v="3"/>
    <n v="1137"/>
    <n v="325.68"/>
    <x v="2"/>
    <x v="3"/>
    <x v="3"/>
    <n v="2025"/>
    <s v="Q3"/>
    <n v="0.28643799472295517"/>
    <s v="MEDIUM"/>
    <n v="0"/>
  </r>
  <r>
    <n v="10125"/>
    <s v="10-Apr-2025"/>
    <x v="16"/>
    <x v="0"/>
    <s v="Maharashtra"/>
    <x v="2"/>
    <s v="Chairs"/>
    <s v="Chair"/>
    <n v="4"/>
    <n v="13231.6"/>
    <n v="1436.35"/>
    <x v="4"/>
    <x v="0"/>
    <x v="4"/>
    <n v="2025"/>
    <s v="Q2"/>
    <n v="0.10855452099519332"/>
    <s v="HIGH"/>
    <n v="0.05"/>
  </r>
  <r>
    <n v="10126"/>
    <s v="30-Apr-2025"/>
    <x v="78"/>
    <x v="1"/>
    <s v="Tamil Nadu"/>
    <x v="2"/>
    <s v="Living Room"/>
    <s v="Sofa"/>
    <n v="3"/>
    <n v="6594.3"/>
    <n v="542.89"/>
    <x v="0"/>
    <x v="1"/>
    <x v="4"/>
    <n v="2025"/>
    <s v="Q2"/>
    <n v="8.232716133630559E-2"/>
    <s v="HIGH"/>
    <n v="0.15"/>
  </r>
  <r>
    <n v="10127"/>
    <s v="08-Jul-2025"/>
    <x v="67"/>
    <x v="7"/>
    <s v="Delhi"/>
    <x v="1"/>
    <s v="Paper"/>
    <s v="Printer Paper"/>
    <n v="6"/>
    <n v="14395.2"/>
    <n v="3327.33"/>
    <x v="3"/>
    <x v="2"/>
    <x v="2"/>
    <n v="2025"/>
    <s v="Q3"/>
    <n v="0.2311416305435145"/>
    <s v="HIGH"/>
    <n v="0.2"/>
  </r>
  <r>
    <n v="10128"/>
    <s v="31-Oct-2025"/>
    <x v="72"/>
    <x v="7"/>
    <s v="Delhi"/>
    <x v="1"/>
    <s v="Paper"/>
    <s v="Printer Paper"/>
    <n v="3"/>
    <n v="6064.2"/>
    <n v="1282.6500000000001"/>
    <x v="1"/>
    <x v="3"/>
    <x v="7"/>
    <n v="2025"/>
    <s v="Q4"/>
    <n v="0.21151182348867123"/>
    <s v="HIGH"/>
    <n v="0.1"/>
  </r>
  <r>
    <n v="10129"/>
    <s v="09-Nov-2025"/>
    <x v="70"/>
    <x v="0"/>
    <s v="Maharashtra"/>
    <x v="2"/>
    <s v="Chairs"/>
    <s v="Chair"/>
    <n v="7"/>
    <n v="11300.8"/>
    <n v="1147.94"/>
    <x v="3"/>
    <x v="1"/>
    <x v="10"/>
    <n v="2025"/>
    <s v="Q4"/>
    <n v="0.1015804190853745"/>
    <s v="HIGH"/>
    <n v="0.2"/>
  </r>
  <r>
    <n v="10130"/>
    <s v="21-May-2025"/>
    <x v="43"/>
    <x v="6"/>
    <s v="Maharashtra"/>
    <x v="2"/>
    <s v="Tables"/>
    <s v="Table"/>
    <n v="5"/>
    <n v="7083"/>
    <n v="1553.76"/>
    <x v="1"/>
    <x v="3"/>
    <x v="6"/>
    <n v="2025"/>
    <s v="Q2"/>
    <n v="0.21936467598475223"/>
    <s v="HIGH"/>
    <n v="0.1"/>
  </r>
  <r>
    <n v="10131"/>
    <s v="18-Mar-2025"/>
    <x v="10"/>
    <x v="2"/>
    <s v="West Bengal"/>
    <x v="0"/>
    <s v="Accessories"/>
    <s v="Mouse"/>
    <n v="2"/>
    <n v="6702.4"/>
    <n v="907"/>
    <x v="3"/>
    <x v="0"/>
    <x v="8"/>
    <n v="2025"/>
    <s v="Q1"/>
    <n v="0.13532465982334688"/>
    <s v="HIGH"/>
    <n v="0.2"/>
  </r>
  <r>
    <n v="10132"/>
    <s v="21-Sep-2025"/>
    <x v="90"/>
    <x v="6"/>
    <s v="Maharashtra"/>
    <x v="2"/>
    <s v="Chairs"/>
    <s v="Chair"/>
    <n v="7"/>
    <n v="16153.2"/>
    <n v="4219.1499999999996"/>
    <x v="1"/>
    <x v="2"/>
    <x v="3"/>
    <n v="2025"/>
    <s v="Q3"/>
    <n v="0.26119592402743724"/>
    <s v="HIGH"/>
    <n v="0.1"/>
  </r>
  <r>
    <n v="10133"/>
    <s v="10-Jul-2025"/>
    <x v="59"/>
    <x v="1"/>
    <s v="Tamil Nadu"/>
    <x v="1"/>
    <s v="Stationery"/>
    <s v="Notebook"/>
    <n v="5"/>
    <n v="13062.5"/>
    <n v="3368.74"/>
    <x v="4"/>
    <x v="0"/>
    <x v="2"/>
    <n v="2025"/>
    <s v="Q3"/>
    <n v="0.25789397129186603"/>
    <s v="HIGH"/>
    <n v="0.05"/>
  </r>
  <r>
    <n v="10134"/>
    <s v="11-Dec-2025"/>
    <x v="14"/>
    <x v="3"/>
    <s v="Gujarat"/>
    <x v="0"/>
    <s v="Audio"/>
    <s v="Headphones"/>
    <n v="3"/>
    <n v="2692.8"/>
    <n v="791.56"/>
    <x v="3"/>
    <x v="1"/>
    <x v="9"/>
    <n v="2025"/>
    <s v="Q4"/>
    <n v="0.29395424836601303"/>
    <s v="MEDIUM"/>
    <n v="0.2"/>
  </r>
  <r>
    <n v="10135"/>
    <s v="13-Jan-2025"/>
    <x v="24"/>
    <x v="6"/>
    <s v="Maharashtra"/>
    <x v="1"/>
    <s v="Stationery"/>
    <s v="Notebook"/>
    <n v="8"/>
    <n v="18393.599999999999"/>
    <n v="4564.1000000000004"/>
    <x v="3"/>
    <x v="4"/>
    <x v="0"/>
    <n v="2025"/>
    <s v="Q1"/>
    <n v="0.24813522094641619"/>
    <s v="HIGH"/>
    <n v="0.2"/>
  </r>
  <r>
    <n v="10136"/>
    <s v="18-Oct-2025"/>
    <x v="93"/>
    <x v="0"/>
    <s v="Maharashtra"/>
    <x v="0"/>
    <s v="Audio"/>
    <s v="Headphones"/>
    <n v="1"/>
    <n v="1322.1"/>
    <n v="358.87"/>
    <x v="1"/>
    <x v="2"/>
    <x v="7"/>
    <n v="2025"/>
    <s v="Q4"/>
    <n v="0.27143937674911128"/>
    <s v="MEDIUM"/>
    <n v="0.1"/>
  </r>
  <r>
    <n v="10137"/>
    <s v="19-Sep-2025"/>
    <x v="55"/>
    <x v="1"/>
    <s v="Tamil Nadu"/>
    <x v="2"/>
    <s v="Office"/>
    <s v="Desk"/>
    <n v="6"/>
    <n v="27736.2"/>
    <n v="7556.92"/>
    <x v="4"/>
    <x v="4"/>
    <x v="3"/>
    <n v="2025"/>
    <s v="Q3"/>
    <n v="0.27245693353811984"/>
    <s v="HIGH"/>
    <n v="0.05"/>
  </r>
  <r>
    <n v="10138"/>
    <s v="17-Jun-2025"/>
    <x v="94"/>
    <x v="4"/>
    <s v="Telangana"/>
    <x v="0"/>
    <s v="Accessories"/>
    <s v="Mouse"/>
    <n v="2"/>
    <n v="6035"/>
    <n v="1286.67"/>
    <x v="0"/>
    <x v="3"/>
    <x v="11"/>
    <n v="2025"/>
    <s v="Q2"/>
    <n v="0.21320132560066282"/>
    <s v="HIGH"/>
    <n v="0.15"/>
  </r>
  <r>
    <n v="10139"/>
    <s v="28-Jun-2025"/>
    <x v="16"/>
    <x v="4"/>
    <s v="Telangana"/>
    <x v="1"/>
    <s v="Stationery"/>
    <s v="Marker"/>
    <n v="7"/>
    <n v="23973.599999999999"/>
    <n v="3377.13"/>
    <x v="3"/>
    <x v="2"/>
    <x v="11"/>
    <n v="2025"/>
    <s v="Q2"/>
    <n v="0.14086870557613376"/>
    <s v="HIGH"/>
    <n v="0.2"/>
  </r>
  <r>
    <n v="10140"/>
    <s v="30-May-2025"/>
    <x v="95"/>
    <x v="3"/>
    <s v="Gujarat"/>
    <x v="0"/>
    <s v="Computers"/>
    <s v="Laptop"/>
    <n v="4"/>
    <n v="12583.4"/>
    <n v="2906.91"/>
    <x v="0"/>
    <x v="3"/>
    <x v="6"/>
    <n v="2025"/>
    <s v="Q2"/>
    <n v="0.23101149132984725"/>
    <s v="HIGH"/>
    <n v="0.15"/>
  </r>
  <r>
    <n v="10141"/>
    <s v="14-Jul-2025"/>
    <x v="96"/>
    <x v="2"/>
    <s v="West Bengal"/>
    <x v="2"/>
    <s v="Living Room"/>
    <s v="Sofa"/>
    <n v="2"/>
    <n v="2739.2"/>
    <n v="530.75"/>
    <x v="3"/>
    <x v="0"/>
    <x v="2"/>
    <n v="2025"/>
    <s v="Q3"/>
    <n v="0.19376095210280375"/>
    <s v="MEDIUM"/>
    <n v="0.2"/>
  </r>
  <r>
    <n v="10142"/>
    <s v="23-Apr-2025"/>
    <x v="97"/>
    <x v="4"/>
    <s v="Telangana"/>
    <x v="0"/>
    <s v="Computers"/>
    <s v="Laptop"/>
    <n v="5"/>
    <n v="17869.5"/>
    <n v="1758.35"/>
    <x v="4"/>
    <x v="1"/>
    <x v="4"/>
    <n v="2025"/>
    <s v="Q2"/>
    <n v="9.8399507540781778E-2"/>
    <s v="HIGH"/>
    <n v="0.05"/>
  </r>
  <r>
    <n v="10143"/>
    <s v="16-Mar-2025"/>
    <x v="98"/>
    <x v="6"/>
    <s v="Maharashtra"/>
    <x v="0"/>
    <s v="Accessories"/>
    <s v="Keyboard"/>
    <n v="5"/>
    <n v="5110"/>
    <n v="1452.53"/>
    <x v="2"/>
    <x v="3"/>
    <x v="8"/>
    <n v="2025"/>
    <s v="Q1"/>
    <n v="0.28425244618395301"/>
    <s v="HIGH"/>
    <n v="0"/>
  </r>
  <r>
    <n v="10144"/>
    <s v="06-May-2025"/>
    <x v="99"/>
    <x v="1"/>
    <s v="Tamil Nadu"/>
    <x v="2"/>
    <s v="Tables"/>
    <s v="Table"/>
    <n v="7"/>
    <n v="15097.6"/>
    <n v="3342.84"/>
    <x v="3"/>
    <x v="2"/>
    <x v="6"/>
    <n v="2025"/>
    <s v="Q2"/>
    <n v="0.22141532428995336"/>
    <s v="HIGH"/>
    <n v="0.2"/>
  </r>
  <r>
    <n v="10145"/>
    <s v="09-May-2025"/>
    <x v="100"/>
    <x v="7"/>
    <s v="Delhi"/>
    <x v="2"/>
    <s v="Chairs"/>
    <s v="Chair"/>
    <n v="4"/>
    <n v="7571.2"/>
    <n v="622.74"/>
    <x v="3"/>
    <x v="2"/>
    <x v="6"/>
    <n v="2025"/>
    <s v="Q2"/>
    <n v="8.2251162299239219E-2"/>
    <s v="HIGH"/>
    <n v="0.2"/>
  </r>
  <r>
    <n v="10146"/>
    <s v="12-Jun-2025"/>
    <x v="37"/>
    <x v="2"/>
    <s v="West Bengal"/>
    <x v="1"/>
    <s v="Paper"/>
    <s v="Printer Paper"/>
    <n v="4"/>
    <n v="15363.2"/>
    <n v="2542.23"/>
    <x v="3"/>
    <x v="4"/>
    <x v="11"/>
    <n v="2025"/>
    <s v="Q2"/>
    <n v="0.16547529160591543"/>
    <s v="HIGH"/>
    <n v="0.2"/>
  </r>
  <r>
    <n v="10147"/>
    <s v="16-Aug-2025"/>
    <x v="23"/>
    <x v="5"/>
    <s v="Karnataka"/>
    <x v="0"/>
    <s v="Accessories"/>
    <s v="Keyboard"/>
    <n v="4"/>
    <n v="6783"/>
    <n v="1064.8499999999999"/>
    <x v="0"/>
    <x v="2"/>
    <x v="5"/>
    <n v="2025"/>
    <s v="Q3"/>
    <n v="0.15698805838124721"/>
    <s v="HIGH"/>
    <n v="0.15"/>
  </r>
  <r>
    <n v="10148"/>
    <s v="02-Mar-2025"/>
    <x v="57"/>
    <x v="7"/>
    <s v="Delhi"/>
    <x v="1"/>
    <s v="Paper"/>
    <s v="Printer Paper"/>
    <n v="5"/>
    <n v="1228"/>
    <n v="278.12"/>
    <x v="3"/>
    <x v="0"/>
    <x v="8"/>
    <n v="2025"/>
    <s v="Q1"/>
    <n v="0.22648208469055375"/>
    <s v="MEDIUM"/>
    <n v="0.2"/>
  </r>
  <r>
    <n v="10149"/>
    <s v="04-Mar-2025"/>
    <x v="101"/>
    <x v="3"/>
    <s v="Gujarat"/>
    <x v="2"/>
    <s v="Tables"/>
    <s v="Table"/>
    <n v="8"/>
    <n v="9248"/>
    <n v="1993.36"/>
    <x v="3"/>
    <x v="4"/>
    <x v="8"/>
    <n v="2025"/>
    <s v="Q1"/>
    <n v="0.21554498269896194"/>
    <s v="HIGH"/>
    <n v="0.2"/>
  </r>
  <r>
    <n v="10150"/>
    <s v="17-Jun-2025"/>
    <x v="89"/>
    <x v="0"/>
    <s v="Maharashtra"/>
    <x v="0"/>
    <s v="Accessories"/>
    <s v="Mouse"/>
    <n v="7"/>
    <n v="27191.85"/>
    <n v="3621.26"/>
    <x v="4"/>
    <x v="0"/>
    <x v="11"/>
    <n v="2025"/>
    <s v="Q2"/>
    <n v="0.13317446220099038"/>
    <s v="HIGH"/>
    <n v="0.05"/>
  </r>
  <r>
    <n v="10151"/>
    <s v="16-Jul-2025"/>
    <x v="102"/>
    <x v="6"/>
    <s v="Maharashtra"/>
    <x v="2"/>
    <s v="Living Room"/>
    <s v="Sofa"/>
    <n v="6"/>
    <n v="12144"/>
    <n v="2388.09"/>
    <x v="2"/>
    <x v="0"/>
    <x v="2"/>
    <n v="2025"/>
    <s v="Q3"/>
    <n v="0.19664772727272728"/>
    <s v="HIGH"/>
    <n v="0"/>
  </r>
  <r>
    <n v="10152"/>
    <s v="06-Jan-2025"/>
    <x v="20"/>
    <x v="0"/>
    <s v="Maharashtra"/>
    <x v="1"/>
    <s v="Paper"/>
    <s v="Printer Paper"/>
    <n v="4"/>
    <n v="6592"/>
    <n v="1111.49"/>
    <x v="2"/>
    <x v="1"/>
    <x v="0"/>
    <n v="2025"/>
    <s v="Q1"/>
    <n v="0.16861195388349515"/>
    <s v="HIGH"/>
    <n v="0"/>
  </r>
  <r>
    <n v="10153"/>
    <s v="14-Jun-2025"/>
    <x v="45"/>
    <x v="7"/>
    <s v="Delhi"/>
    <x v="1"/>
    <s v="Stationery"/>
    <s v="Notebook"/>
    <n v="8"/>
    <n v="931.6"/>
    <n v="224.89"/>
    <x v="0"/>
    <x v="3"/>
    <x v="11"/>
    <n v="2025"/>
    <s v="Q2"/>
    <n v="0.24140188922284239"/>
    <s v="LOW"/>
    <n v="0.15"/>
  </r>
  <r>
    <n v="10154"/>
    <s v="12-Apr-2025"/>
    <x v="94"/>
    <x v="5"/>
    <s v="Karnataka"/>
    <x v="1"/>
    <s v="Stationery"/>
    <s v="Pen"/>
    <n v="3"/>
    <n v="6607.2"/>
    <n v="629.83000000000004"/>
    <x v="3"/>
    <x v="0"/>
    <x v="4"/>
    <n v="2025"/>
    <s v="Q2"/>
    <n v="9.5324797190943222E-2"/>
    <s v="HIGH"/>
    <n v="0.2"/>
  </r>
  <r>
    <n v="10155"/>
    <s v="16-Feb-2025"/>
    <x v="87"/>
    <x v="3"/>
    <s v="Gujarat"/>
    <x v="0"/>
    <s v="Accessories"/>
    <s v="Mouse"/>
    <n v="1"/>
    <n v="641.6"/>
    <n v="166.95"/>
    <x v="3"/>
    <x v="3"/>
    <x v="1"/>
    <n v="2025"/>
    <s v="Q1"/>
    <n v="0.26020885286783041"/>
    <s v="LOW"/>
    <n v="0.2"/>
  </r>
  <r>
    <n v="10156"/>
    <s v="09-Mar-2025"/>
    <x v="103"/>
    <x v="7"/>
    <s v="Delhi"/>
    <x v="2"/>
    <s v="Office"/>
    <s v="Desk"/>
    <n v="1"/>
    <n v="408"/>
    <n v="45.93"/>
    <x v="3"/>
    <x v="1"/>
    <x v="8"/>
    <n v="2025"/>
    <s v="Q1"/>
    <n v="0.11257352941176471"/>
    <s v="LOW"/>
    <n v="0.2"/>
  </r>
  <r>
    <n v="10157"/>
    <s v="22-May-2025"/>
    <x v="104"/>
    <x v="5"/>
    <s v="Karnataka"/>
    <x v="1"/>
    <s v="Stationery"/>
    <s v="Pen"/>
    <n v="1"/>
    <n v="2718"/>
    <n v="629.12"/>
    <x v="1"/>
    <x v="3"/>
    <x v="6"/>
    <n v="2025"/>
    <s v="Q2"/>
    <n v="0.23146431199411333"/>
    <s v="MEDIUM"/>
    <n v="0.1"/>
  </r>
  <r>
    <n v="10158"/>
    <s v="21-Dec-2025"/>
    <x v="79"/>
    <x v="0"/>
    <s v="Maharashtra"/>
    <x v="2"/>
    <s v="Office"/>
    <s v="Desk"/>
    <n v="8"/>
    <n v="31814.400000000001"/>
    <n v="8969.82"/>
    <x v="3"/>
    <x v="1"/>
    <x v="9"/>
    <n v="2025"/>
    <s v="Q4"/>
    <n v="0.28194213940856966"/>
    <s v="HIGH"/>
    <n v="0.2"/>
  </r>
  <r>
    <n v="10159"/>
    <s v="18-Aug-2025"/>
    <x v="19"/>
    <x v="5"/>
    <s v="Karnataka"/>
    <x v="1"/>
    <s v="Stationery"/>
    <s v="Pen"/>
    <n v="5"/>
    <n v="17451.5"/>
    <n v="2541.9"/>
    <x v="4"/>
    <x v="3"/>
    <x v="5"/>
    <n v="2025"/>
    <s v="Q3"/>
    <n v="0.1456551012806922"/>
    <s v="HIGH"/>
    <n v="0.05"/>
  </r>
  <r>
    <n v="10160"/>
    <s v="22-Aug-2025"/>
    <x v="105"/>
    <x v="0"/>
    <s v="Maharashtra"/>
    <x v="2"/>
    <s v="Tables"/>
    <s v="Table"/>
    <n v="6"/>
    <n v="24933.9"/>
    <n v="6462.17"/>
    <x v="0"/>
    <x v="3"/>
    <x v="5"/>
    <n v="2025"/>
    <s v="Q3"/>
    <n v="0.25917205090258644"/>
    <s v="HIGH"/>
    <n v="0.15"/>
  </r>
  <r>
    <n v="10161"/>
    <s v="12-Feb-2025"/>
    <x v="106"/>
    <x v="0"/>
    <s v="Maharashtra"/>
    <x v="0"/>
    <s v="Accessories"/>
    <s v="Mouse"/>
    <n v="5"/>
    <n v="15850.75"/>
    <n v="2445.37"/>
    <x v="4"/>
    <x v="1"/>
    <x v="1"/>
    <n v="2025"/>
    <s v="Q1"/>
    <n v="0.15427471886188349"/>
    <s v="HIGH"/>
    <n v="0.05"/>
  </r>
  <r>
    <n v="10162"/>
    <s v="09-Nov-2025"/>
    <x v="39"/>
    <x v="4"/>
    <s v="Telangana"/>
    <x v="0"/>
    <s v="Accessories"/>
    <s v="Mouse"/>
    <n v="5"/>
    <n v="6060.5"/>
    <n v="1061.8800000000001"/>
    <x v="0"/>
    <x v="3"/>
    <x v="10"/>
    <n v="2025"/>
    <s v="Q4"/>
    <n v="0.17521326623215908"/>
    <s v="HIGH"/>
    <n v="0.15"/>
  </r>
  <r>
    <n v="10163"/>
    <s v="09-Sep-2025"/>
    <x v="17"/>
    <x v="4"/>
    <s v="Telangana"/>
    <x v="1"/>
    <s v="Paper"/>
    <s v="Printer Paper"/>
    <n v="5"/>
    <n v="5742.75"/>
    <n v="807.36"/>
    <x v="4"/>
    <x v="1"/>
    <x v="3"/>
    <n v="2025"/>
    <s v="Q3"/>
    <n v="0.14058769753167036"/>
    <s v="HIGH"/>
    <n v="0.05"/>
  </r>
  <r>
    <n v="10164"/>
    <s v="22-Oct-2025"/>
    <x v="31"/>
    <x v="5"/>
    <s v="Karnataka"/>
    <x v="0"/>
    <s v="Accessories"/>
    <s v="Keyboard"/>
    <n v="1"/>
    <n v="1585.25"/>
    <n v="326.47000000000003"/>
    <x v="0"/>
    <x v="2"/>
    <x v="7"/>
    <n v="2025"/>
    <s v="Q4"/>
    <n v="0.20594228039741366"/>
    <s v="MEDIUM"/>
    <n v="0.15"/>
  </r>
  <r>
    <n v="10165"/>
    <s v="05-Feb-2025"/>
    <x v="107"/>
    <x v="6"/>
    <s v="Maharashtra"/>
    <x v="0"/>
    <s v="Audio"/>
    <s v="Headphones"/>
    <n v="7"/>
    <n v="26560.799999999999"/>
    <n v="6602.79"/>
    <x v="0"/>
    <x v="1"/>
    <x v="1"/>
    <n v="2025"/>
    <s v="Q1"/>
    <n v="0.24859153338754858"/>
    <s v="HIGH"/>
    <n v="0.15"/>
  </r>
  <r>
    <n v="10166"/>
    <s v="27-Nov-2025"/>
    <x v="108"/>
    <x v="5"/>
    <s v="Karnataka"/>
    <x v="2"/>
    <s v="Tables"/>
    <s v="Table"/>
    <n v="6"/>
    <n v="4406.3999999999996"/>
    <n v="543.48"/>
    <x v="1"/>
    <x v="0"/>
    <x v="10"/>
    <n v="2025"/>
    <s v="Q4"/>
    <n v="0.12333877995642703"/>
    <s v="MEDIUM"/>
    <n v="0.1"/>
  </r>
  <r>
    <n v="10167"/>
    <s v="22-Oct-2025"/>
    <x v="109"/>
    <x v="1"/>
    <s v="Tamil Nadu"/>
    <x v="2"/>
    <s v="Chairs"/>
    <s v="Chair"/>
    <n v="5"/>
    <n v="12114"/>
    <n v="2610.36"/>
    <x v="1"/>
    <x v="2"/>
    <x v="7"/>
    <n v="2025"/>
    <s v="Q4"/>
    <n v="0.21548291233283806"/>
    <s v="HIGH"/>
    <n v="0.1"/>
  </r>
  <r>
    <n v="10168"/>
    <s v="01-Jan-2025"/>
    <x v="74"/>
    <x v="7"/>
    <s v="Delhi"/>
    <x v="2"/>
    <s v="Chairs"/>
    <s v="Chair"/>
    <n v="1"/>
    <n v="3163.5"/>
    <n v="432.98"/>
    <x v="1"/>
    <x v="0"/>
    <x v="0"/>
    <n v="2025"/>
    <s v="Q1"/>
    <n v="0.13686739370949899"/>
    <s v="MEDIUM"/>
    <n v="0.1"/>
  </r>
  <r>
    <n v="10169"/>
    <s v="10-Jan-2025"/>
    <x v="0"/>
    <x v="5"/>
    <s v="Karnataka"/>
    <x v="1"/>
    <s v="Stationery"/>
    <s v="Notebook"/>
    <n v="3"/>
    <n v="3281.85"/>
    <n v="565.54999999999995"/>
    <x v="0"/>
    <x v="0"/>
    <x v="0"/>
    <n v="2025"/>
    <s v="Q1"/>
    <n v="0.17232658409128995"/>
    <s v="MEDIUM"/>
    <n v="0.15"/>
  </r>
  <r>
    <n v="10170"/>
    <s v="05-Jun-2025"/>
    <x v="110"/>
    <x v="0"/>
    <s v="Maharashtra"/>
    <x v="2"/>
    <s v="Chairs"/>
    <s v="Chair"/>
    <n v="1"/>
    <n v="1283"/>
    <n v="149.63"/>
    <x v="2"/>
    <x v="0"/>
    <x v="11"/>
    <n v="2025"/>
    <s v="Q2"/>
    <n v="0.11662509742790335"/>
    <s v="MEDIUM"/>
    <n v="0"/>
  </r>
  <r>
    <n v="10171"/>
    <s v="05-Jun-2025"/>
    <x v="14"/>
    <x v="5"/>
    <s v="Karnataka"/>
    <x v="0"/>
    <s v="Audio"/>
    <s v="Headphones"/>
    <n v="6"/>
    <n v="26724.6"/>
    <n v="5416.96"/>
    <x v="1"/>
    <x v="0"/>
    <x v="11"/>
    <n v="2025"/>
    <s v="Q2"/>
    <n v="0.20269564371403129"/>
    <s v="HIGH"/>
    <n v="0.1"/>
  </r>
  <r>
    <n v="10172"/>
    <s v="19-Jul-2025"/>
    <x v="92"/>
    <x v="7"/>
    <s v="Delhi"/>
    <x v="0"/>
    <s v="Accessories"/>
    <s v="Keyboard"/>
    <n v="5"/>
    <n v="4952"/>
    <n v="1079.03"/>
    <x v="3"/>
    <x v="0"/>
    <x v="2"/>
    <n v="2025"/>
    <s v="Q3"/>
    <n v="0.21789781906300484"/>
    <s v="MEDIUM"/>
    <n v="0.2"/>
  </r>
  <r>
    <n v="10173"/>
    <s v="13-Jul-2025"/>
    <x v="66"/>
    <x v="2"/>
    <s v="West Bengal"/>
    <x v="0"/>
    <s v="Computers"/>
    <s v="Laptop"/>
    <n v="5"/>
    <n v="12825"/>
    <n v="3567.88"/>
    <x v="2"/>
    <x v="4"/>
    <x v="2"/>
    <n v="2025"/>
    <s v="Q3"/>
    <n v="0.27819727095516572"/>
    <s v="HIGH"/>
    <n v="0"/>
  </r>
  <r>
    <n v="10174"/>
    <s v="26-Jun-2025"/>
    <x v="106"/>
    <x v="7"/>
    <s v="Delhi"/>
    <x v="2"/>
    <s v="Tables"/>
    <s v="Table"/>
    <n v="1"/>
    <n v="2681.6"/>
    <n v="300.35000000000002"/>
    <x v="3"/>
    <x v="0"/>
    <x v="11"/>
    <n v="2025"/>
    <s v="Q2"/>
    <n v="0.11200402744630072"/>
    <s v="MEDIUM"/>
    <n v="0.2"/>
  </r>
  <r>
    <n v="10175"/>
    <s v="26-May-2025"/>
    <x v="111"/>
    <x v="7"/>
    <s v="Delhi"/>
    <x v="1"/>
    <s v="Paper"/>
    <s v="Printer Paper"/>
    <n v="6"/>
    <n v="28998"/>
    <n v="6137.1"/>
    <x v="2"/>
    <x v="4"/>
    <x v="6"/>
    <n v="2025"/>
    <s v="Q2"/>
    <n v="0.21163873370577282"/>
    <s v="HIGH"/>
    <n v="0"/>
  </r>
  <r>
    <n v="10176"/>
    <s v="20-Jul-2025"/>
    <x v="40"/>
    <x v="2"/>
    <s v="West Bengal"/>
    <x v="1"/>
    <s v="Stationery"/>
    <s v="Pen"/>
    <n v="8"/>
    <n v="37566.800000000003"/>
    <n v="3286.09"/>
    <x v="4"/>
    <x v="2"/>
    <x v="2"/>
    <n v="2025"/>
    <s v="Q3"/>
    <n v="8.7473247654844169E-2"/>
    <s v="HIGH"/>
    <n v="0.05"/>
  </r>
  <r>
    <n v="10177"/>
    <s v="29-May-2025"/>
    <x v="24"/>
    <x v="5"/>
    <s v="Karnataka"/>
    <x v="0"/>
    <s v="Accessories"/>
    <s v="Keyboard"/>
    <n v="5"/>
    <n v="19745.5"/>
    <n v="3523.97"/>
    <x v="0"/>
    <x v="0"/>
    <x v="6"/>
    <n v="2025"/>
    <s v="Q2"/>
    <n v="0.17846952470183078"/>
    <s v="HIGH"/>
    <n v="0.15"/>
  </r>
  <r>
    <n v="10178"/>
    <s v="24-Apr-2025"/>
    <x v="112"/>
    <x v="3"/>
    <s v="Gujarat"/>
    <x v="2"/>
    <s v="Office"/>
    <s v="Desk"/>
    <n v="1"/>
    <n v="554.4"/>
    <n v="133.13"/>
    <x v="3"/>
    <x v="2"/>
    <x v="4"/>
    <n v="2025"/>
    <s v="Q2"/>
    <n v="0.24013347763347764"/>
    <s v="LOW"/>
    <n v="0.2"/>
  </r>
  <r>
    <n v="10179"/>
    <s v="30-Aug-2025"/>
    <x v="16"/>
    <x v="3"/>
    <s v="Gujarat"/>
    <x v="0"/>
    <s v="Audio"/>
    <s v="Headphones"/>
    <n v="7"/>
    <n v="7956.9"/>
    <n v="1591.85"/>
    <x v="1"/>
    <x v="2"/>
    <x v="5"/>
    <n v="2025"/>
    <s v="Q3"/>
    <n v="0.20005906823008959"/>
    <s v="HIGH"/>
    <n v="0.1"/>
  </r>
  <r>
    <n v="10180"/>
    <s v="01-Aug-2025"/>
    <x v="91"/>
    <x v="4"/>
    <s v="Telangana"/>
    <x v="0"/>
    <s v="Accessories"/>
    <s v="Mouse"/>
    <n v="3"/>
    <n v="927"/>
    <n v="213.37"/>
    <x v="2"/>
    <x v="1"/>
    <x v="5"/>
    <n v="2025"/>
    <s v="Q3"/>
    <n v="0.23017259978425028"/>
    <s v="LOW"/>
    <n v="0"/>
  </r>
  <r>
    <n v="10181"/>
    <s v="20-Nov-2025"/>
    <x v="34"/>
    <x v="5"/>
    <s v="Karnataka"/>
    <x v="2"/>
    <s v="Chairs"/>
    <s v="Chair"/>
    <n v="8"/>
    <n v="18079.2"/>
    <n v="4275.1099999999997"/>
    <x v="1"/>
    <x v="0"/>
    <x v="10"/>
    <n v="2025"/>
    <s v="Q4"/>
    <n v="0.23646566219744233"/>
    <s v="HIGH"/>
    <n v="0.1"/>
  </r>
  <r>
    <n v="10182"/>
    <s v="29-Jun-2025"/>
    <x v="113"/>
    <x v="4"/>
    <s v="Telangana"/>
    <x v="0"/>
    <s v="Accessories"/>
    <s v="Mouse"/>
    <n v="2"/>
    <n v="899.3"/>
    <n v="107.34"/>
    <x v="0"/>
    <x v="3"/>
    <x v="11"/>
    <n v="2025"/>
    <s v="Q2"/>
    <n v="0.11935950183476038"/>
    <s v="LOW"/>
    <n v="0.15"/>
  </r>
  <r>
    <n v="10183"/>
    <s v="14-Dec-2025"/>
    <x v="114"/>
    <x v="7"/>
    <s v="Delhi"/>
    <x v="1"/>
    <s v="Stationery"/>
    <s v="Pen"/>
    <n v="4"/>
    <n v="12382.8"/>
    <n v="3638.84"/>
    <x v="0"/>
    <x v="1"/>
    <x v="9"/>
    <n v="2025"/>
    <s v="Q4"/>
    <n v="0.29386245437219372"/>
    <s v="HIGH"/>
    <n v="0.15"/>
  </r>
  <r>
    <n v="10184"/>
    <s v="12-Jan-2025"/>
    <x v="73"/>
    <x v="7"/>
    <s v="Delhi"/>
    <x v="2"/>
    <s v="Office"/>
    <s v="Desk"/>
    <n v="2"/>
    <n v="8150.4"/>
    <n v="2371.5700000000002"/>
    <x v="1"/>
    <x v="1"/>
    <x v="0"/>
    <n v="2025"/>
    <s v="Q1"/>
    <n v="0.29097590302316456"/>
    <s v="HIGH"/>
    <n v="0.1"/>
  </r>
  <r>
    <n v="10185"/>
    <s v="24-Jul-2025"/>
    <x v="18"/>
    <x v="5"/>
    <s v="Karnataka"/>
    <x v="0"/>
    <s v="Computers"/>
    <s v="Laptop"/>
    <n v="7"/>
    <n v="20563.2"/>
    <n v="4239.3100000000004"/>
    <x v="3"/>
    <x v="3"/>
    <x v="2"/>
    <n v="2025"/>
    <s v="Q3"/>
    <n v="0.20616003345782757"/>
    <s v="HIGH"/>
    <n v="0.2"/>
  </r>
  <r>
    <n v="10186"/>
    <s v="05-Oct-2025"/>
    <x v="49"/>
    <x v="3"/>
    <s v="Gujarat"/>
    <x v="2"/>
    <s v="Office"/>
    <s v="Desk"/>
    <n v="1"/>
    <n v="1318"/>
    <n v="315.81"/>
    <x v="2"/>
    <x v="3"/>
    <x v="7"/>
    <n v="2025"/>
    <s v="Q4"/>
    <n v="0.23961305007587252"/>
    <s v="MEDIUM"/>
    <n v="0"/>
  </r>
  <r>
    <n v="10187"/>
    <s v="06-Mar-2025"/>
    <x v="115"/>
    <x v="5"/>
    <s v="Karnataka"/>
    <x v="0"/>
    <s v="Accessories"/>
    <s v="Keyboard"/>
    <n v="5"/>
    <n v="19247"/>
    <n v="3540.77"/>
    <x v="4"/>
    <x v="3"/>
    <x v="8"/>
    <n v="2025"/>
    <s v="Q1"/>
    <n v="0.18396477373097106"/>
    <s v="HIGH"/>
    <n v="0.05"/>
  </r>
  <r>
    <n v="10188"/>
    <s v="11-Aug-2025"/>
    <x v="39"/>
    <x v="3"/>
    <s v="Gujarat"/>
    <x v="2"/>
    <s v="Tables"/>
    <s v="Table"/>
    <n v="1"/>
    <n v="2620.8000000000002"/>
    <n v="566.84"/>
    <x v="1"/>
    <x v="1"/>
    <x v="5"/>
    <n v="2025"/>
    <s v="Q3"/>
    <n v="0.21628510378510379"/>
    <s v="MEDIUM"/>
    <n v="0.1"/>
  </r>
  <r>
    <n v="10189"/>
    <s v="04-Dec-2025"/>
    <x v="116"/>
    <x v="3"/>
    <s v="Gujarat"/>
    <x v="1"/>
    <s v="Paper"/>
    <s v="Printer Paper"/>
    <n v="2"/>
    <n v="9378.4"/>
    <n v="2644.32"/>
    <x v="4"/>
    <x v="3"/>
    <x v="9"/>
    <n v="2025"/>
    <s v="Q4"/>
    <n v="0.28195854303505929"/>
    <s v="HIGH"/>
    <n v="0.05"/>
  </r>
  <r>
    <n v="10190"/>
    <s v="10-Nov-2025"/>
    <x v="117"/>
    <x v="4"/>
    <s v="Telangana"/>
    <x v="1"/>
    <s v="Stationery"/>
    <s v="Notebook"/>
    <n v="6"/>
    <n v="9671.4"/>
    <n v="2638.77"/>
    <x v="1"/>
    <x v="4"/>
    <x v="10"/>
    <n v="2025"/>
    <s v="Q4"/>
    <n v="0.27284260810223959"/>
    <s v="HIGH"/>
    <n v="0.1"/>
  </r>
  <r>
    <n v="10191"/>
    <s v="19-Jul-2025"/>
    <x v="118"/>
    <x v="6"/>
    <s v="Maharashtra"/>
    <x v="0"/>
    <s v="Computers"/>
    <s v="Laptop"/>
    <n v="4"/>
    <n v="1331.2"/>
    <n v="318.07"/>
    <x v="3"/>
    <x v="0"/>
    <x v="2"/>
    <n v="2025"/>
    <s v="Q3"/>
    <n v="0.23893479567307691"/>
    <s v="MEDIUM"/>
    <n v="0.2"/>
  </r>
  <r>
    <n v="10192"/>
    <s v="10-Apr-2025"/>
    <x v="119"/>
    <x v="6"/>
    <s v="Maharashtra"/>
    <x v="1"/>
    <s v="Stationery"/>
    <s v="Pen"/>
    <n v="3"/>
    <n v="13124.7"/>
    <n v="2126.37"/>
    <x v="1"/>
    <x v="4"/>
    <x v="4"/>
    <n v="2025"/>
    <s v="Q2"/>
    <n v="0.16201284600790875"/>
    <s v="HIGH"/>
    <n v="0.1"/>
  </r>
  <r>
    <n v="10193"/>
    <s v="08-Aug-2025"/>
    <x v="120"/>
    <x v="7"/>
    <s v="Delhi"/>
    <x v="1"/>
    <s v="Paper"/>
    <s v="Printer Paper"/>
    <n v="4"/>
    <n v="5939.2"/>
    <n v="1291.57"/>
    <x v="3"/>
    <x v="0"/>
    <x v="5"/>
    <n v="2025"/>
    <s v="Q3"/>
    <n v="0.2174653151939655"/>
    <s v="HIGH"/>
    <n v="0.2"/>
  </r>
  <r>
    <n v="10194"/>
    <s v="12-Feb-2025"/>
    <x v="6"/>
    <x v="5"/>
    <s v="Karnataka"/>
    <x v="1"/>
    <s v="Paper"/>
    <s v="Printer Paper"/>
    <n v="1"/>
    <n v="1903.5"/>
    <n v="234.76"/>
    <x v="1"/>
    <x v="0"/>
    <x v="1"/>
    <n v="2025"/>
    <s v="Q1"/>
    <n v="0.12333070659311794"/>
    <s v="MEDIUM"/>
    <n v="0.1"/>
  </r>
  <r>
    <n v="10195"/>
    <s v="16-Oct-2025"/>
    <x v="94"/>
    <x v="4"/>
    <s v="Telangana"/>
    <x v="1"/>
    <s v="Paper"/>
    <s v="Printer Paper"/>
    <n v="4"/>
    <n v="612"/>
    <n v="151.36000000000001"/>
    <x v="1"/>
    <x v="4"/>
    <x v="7"/>
    <n v="2025"/>
    <s v="Q4"/>
    <n v="0.24732026143790853"/>
    <s v="LOW"/>
    <n v="0.1"/>
  </r>
  <r>
    <n v="10196"/>
    <s v="12-Dec-2025"/>
    <x v="121"/>
    <x v="1"/>
    <s v="Tamil Nadu"/>
    <x v="2"/>
    <s v="Chairs"/>
    <s v="Chair"/>
    <n v="3"/>
    <n v="13155"/>
    <n v="2468.14"/>
    <x v="2"/>
    <x v="0"/>
    <x v="9"/>
    <n v="2025"/>
    <s v="Q4"/>
    <n v="0.18761991638160394"/>
    <s v="HIGH"/>
    <n v="0"/>
  </r>
  <r>
    <n v="10197"/>
    <s v="21-Apr-2025"/>
    <x v="72"/>
    <x v="3"/>
    <s v="Gujarat"/>
    <x v="2"/>
    <s v="Chairs"/>
    <s v="Chair"/>
    <n v="7"/>
    <n v="19756.8"/>
    <n v="3563.56"/>
    <x v="1"/>
    <x v="2"/>
    <x v="4"/>
    <n v="2025"/>
    <s v="Q2"/>
    <n v="0.18037131519274377"/>
    <s v="HIGH"/>
    <n v="0.1"/>
  </r>
  <r>
    <n v="10198"/>
    <s v="14-Mar-2025"/>
    <x v="24"/>
    <x v="2"/>
    <s v="West Bengal"/>
    <x v="2"/>
    <s v="Living Room"/>
    <s v="Sofa"/>
    <n v="1"/>
    <n v="1187.2"/>
    <n v="181.95"/>
    <x v="3"/>
    <x v="4"/>
    <x v="8"/>
    <n v="2025"/>
    <s v="Q1"/>
    <n v="0.15325977088948786"/>
    <s v="MEDIUM"/>
    <n v="0.2"/>
  </r>
  <r>
    <n v="10199"/>
    <s v="16-Jun-2025"/>
    <x v="58"/>
    <x v="1"/>
    <s v="Tamil Nadu"/>
    <x v="2"/>
    <s v="Chairs"/>
    <s v="Chair"/>
    <n v="7"/>
    <n v="6636.7"/>
    <n v="793.11"/>
    <x v="4"/>
    <x v="0"/>
    <x v="11"/>
    <n v="2025"/>
    <s v="Q2"/>
    <n v="0.11950366899211959"/>
    <s v="HIGH"/>
    <n v="0.05"/>
  </r>
  <r>
    <n v="10200"/>
    <s v="07-Feb-2025"/>
    <x v="122"/>
    <x v="6"/>
    <s v="Maharashtra"/>
    <x v="1"/>
    <s v="Stationery"/>
    <s v="Marker"/>
    <n v="7"/>
    <n v="6333.6"/>
    <n v="873.67"/>
    <x v="3"/>
    <x v="3"/>
    <x v="1"/>
    <n v="2025"/>
    <s v="Q1"/>
    <n v="0.13794208664898319"/>
    <s v="HIGH"/>
    <n v="0.2"/>
  </r>
  <r>
    <n v="10201"/>
    <s v="17-Sep-2025"/>
    <x v="113"/>
    <x v="0"/>
    <s v="Maharashtra"/>
    <x v="2"/>
    <s v="Tables"/>
    <s v="Table"/>
    <n v="4"/>
    <n v="4339.2"/>
    <n v="446.07"/>
    <x v="3"/>
    <x v="2"/>
    <x v="3"/>
    <n v="2025"/>
    <s v="Q3"/>
    <n v="0.10280005530973452"/>
    <s v="MEDIUM"/>
    <n v="0.2"/>
  </r>
  <r>
    <n v="10202"/>
    <s v="05-Feb-2025"/>
    <x v="106"/>
    <x v="0"/>
    <s v="Maharashtra"/>
    <x v="0"/>
    <s v="Computers"/>
    <s v="Laptop"/>
    <n v="2"/>
    <n v="928"/>
    <n v="106.1"/>
    <x v="2"/>
    <x v="4"/>
    <x v="1"/>
    <n v="2025"/>
    <s v="Q1"/>
    <n v="0.11433189655172413"/>
    <s v="LOW"/>
    <n v="0"/>
  </r>
  <r>
    <n v="10203"/>
    <s v="20-Oct-2025"/>
    <x v="25"/>
    <x v="2"/>
    <s v="West Bengal"/>
    <x v="0"/>
    <s v="Audio"/>
    <s v="Headphones"/>
    <n v="3"/>
    <n v="7830"/>
    <n v="1933.83"/>
    <x v="2"/>
    <x v="4"/>
    <x v="7"/>
    <n v="2025"/>
    <s v="Q4"/>
    <n v="0.24697701149425286"/>
    <s v="HIGH"/>
    <n v="0"/>
  </r>
  <r>
    <n v="10204"/>
    <s v="16-Jun-2025"/>
    <x v="82"/>
    <x v="5"/>
    <s v="Karnataka"/>
    <x v="0"/>
    <s v="Computers"/>
    <s v="Laptop"/>
    <n v="2"/>
    <n v="4195.8"/>
    <n v="497.9"/>
    <x v="1"/>
    <x v="4"/>
    <x v="11"/>
    <n v="2025"/>
    <s v="Q2"/>
    <n v="0.118666285332952"/>
    <s v="MEDIUM"/>
    <n v="0.1"/>
  </r>
  <r>
    <n v="10205"/>
    <s v="08-Jun-2025"/>
    <x v="14"/>
    <x v="2"/>
    <s v="West Bengal"/>
    <x v="2"/>
    <s v="Living Room"/>
    <s v="Sofa"/>
    <n v="2"/>
    <n v="8236.5"/>
    <n v="808.88"/>
    <x v="4"/>
    <x v="3"/>
    <x v="11"/>
    <n v="2025"/>
    <s v="Q2"/>
    <n v="9.8206762581193471E-2"/>
    <s v="HIGH"/>
    <n v="0.05"/>
  </r>
  <r>
    <n v="10206"/>
    <s v="28-Jul-2025"/>
    <x v="0"/>
    <x v="0"/>
    <s v="Maharashtra"/>
    <x v="0"/>
    <s v="Computers"/>
    <s v="Laptop"/>
    <n v="6"/>
    <n v="13295.7"/>
    <n v="3413.57"/>
    <x v="0"/>
    <x v="0"/>
    <x v="2"/>
    <n v="2025"/>
    <s v="Q3"/>
    <n v="0.25674240543935256"/>
    <s v="HIGH"/>
    <n v="0.15"/>
  </r>
  <r>
    <n v="10207"/>
    <s v="17-Nov-2025"/>
    <x v="123"/>
    <x v="4"/>
    <s v="Telangana"/>
    <x v="1"/>
    <s v="Stationery"/>
    <s v="Marker"/>
    <n v="6"/>
    <n v="17102.400000000001"/>
    <n v="4694.1000000000004"/>
    <x v="3"/>
    <x v="3"/>
    <x v="10"/>
    <n v="2025"/>
    <s v="Q4"/>
    <n v="0.27447024978950324"/>
    <s v="HIGH"/>
    <n v="0.2"/>
  </r>
  <r>
    <n v="10208"/>
    <s v="23-Jul-2025"/>
    <x v="124"/>
    <x v="1"/>
    <s v="Tamil Nadu"/>
    <x v="2"/>
    <s v="Living Room"/>
    <s v="Sofa"/>
    <n v="2"/>
    <n v="2640"/>
    <n v="723.95"/>
    <x v="2"/>
    <x v="1"/>
    <x v="2"/>
    <n v="2025"/>
    <s v="Q3"/>
    <n v="0.27422348484848486"/>
    <s v="MEDIUM"/>
    <n v="0"/>
  </r>
  <r>
    <n v="10209"/>
    <s v="11-Dec-2025"/>
    <x v="125"/>
    <x v="4"/>
    <s v="Telangana"/>
    <x v="2"/>
    <s v="Tables"/>
    <s v="Table"/>
    <n v="8"/>
    <n v="22598.400000000001"/>
    <n v="4170.04"/>
    <x v="3"/>
    <x v="0"/>
    <x v="9"/>
    <n v="2025"/>
    <s v="Q4"/>
    <n v="0.18452810818465024"/>
    <s v="HIGH"/>
    <n v="0.2"/>
  </r>
  <r>
    <n v="10210"/>
    <s v="12-Feb-2025"/>
    <x v="20"/>
    <x v="4"/>
    <s v="Telangana"/>
    <x v="1"/>
    <s v="Paper"/>
    <s v="Printer Paper"/>
    <n v="5"/>
    <n v="1705.25"/>
    <n v="167.98"/>
    <x v="4"/>
    <x v="2"/>
    <x v="1"/>
    <n v="2025"/>
    <s v="Q1"/>
    <n v="9.8507550212578801E-2"/>
    <s v="MEDIUM"/>
    <n v="0.05"/>
  </r>
  <r>
    <n v="10211"/>
    <s v="27-Jul-2025"/>
    <x v="44"/>
    <x v="5"/>
    <s v="Karnataka"/>
    <x v="2"/>
    <s v="Chairs"/>
    <s v="Chair"/>
    <n v="8"/>
    <n v="22056"/>
    <n v="2453.36"/>
    <x v="2"/>
    <x v="0"/>
    <x v="2"/>
    <n v="2025"/>
    <s v="Q3"/>
    <n v="0.11123322451940515"/>
    <s v="HIGH"/>
    <n v="0"/>
  </r>
  <r>
    <n v="10212"/>
    <s v="15-Jun-2025"/>
    <x v="65"/>
    <x v="2"/>
    <s v="West Bengal"/>
    <x v="1"/>
    <s v="Stationery"/>
    <s v="Marker"/>
    <n v="3"/>
    <n v="10852.8"/>
    <n v="1059.48"/>
    <x v="4"/>
    <x v="3"/>
    <x v="11"/>
    <n v="2025"/>
    <s v="Q2"/>
    <n v="9.7622733303847867E-2"/>
    <s v="HIGH"/>
    <n v="0.05"/>
  </r>
  <r>
    <n v="10213"/>
    <s v="17-Oct-2025"/>
    <x v="126"/>
    <x v="6"/>
    <s v="Maharashtra"/>
    <x v="1"/>
    <s v="Stationery"/>
    <s v="Pen"/>
    <n v="6"/>
    <n v="4602"/>
    <n v="551.29999999999995"/>
    <x v="2"/>
    <x v="2"/>
    <x v="7"/>
    <n v="2025"/>
    <s v="Q4"/>
    <n v="0.11979574098218165"/>
    <s v="MEDIUM"/>
    <n v="0"/>
  </r>
  <r>
    <n v="10214"/>
    <s v="06-Aug-2025"/>
    <x v="102"/>
    <x v="0"/>
    <s v="Maharashtra"/>
    <x v="0"/>
    <s v="Accessories"/>
    <s v="Mouse"/>
    <n v="4"/>
    <n v="11920"/>
    <n v="1625.53"/>
    <x v="3"/>
    <x v="0"/>
    <x v="5"/>
    <n v="2025"/>
    <s v="Q3"/>
    <n v="0.13636996644295302"/>
    <s v="HIGH"/>
    <n v="0.2"/>
  </r>
  <r>
    <n v="10215"/>
    <s v="25-Dec-2025"/>
    <x v="127"/>
    <x v="0"/>
    <s v="Maharashtra"/>
    <x v="2"/>
    <s v="Office"/>
    <s v="Desk"/>
    <n v="7"/>
    <n v="1561"/>
    <n v="435.39"/>
    <x v="2"/>
    <x v="0"/>
    <x v="9"/>
    <n v="2025"/>
    <s v="Q4"/>
    <n v="0.27891736066623957"/>
    <s v="MEDIUM"/>
    <n v="0"/>
  </r>
  <r>
    <n v="10216"/>
    <s v="14-Jun-2025"/>
    <x v="118"/>
    <x v="1"/>
    <s v="Tamil Nadu"/>
    <x v="1"/>
    <s v="Stationery"/>
    <s v="Notebook"/>
    <n v="4"/>
    <n v="1934.2"/>
    <n v="485.19"/>
    <x v="4"/>
    <x v="0"/>
    <x v="11"/>
    <n v="2025"/>
    <s v="Q2"/>
    <n v="0.25084789577086131"/>
    <s v="MEDIUM"/>
    <n v="0.05"/>
  </r>
  <r>
    <n v="10217"/>
    <s v="26-Apr-2025"/>
    <x v="6"/>
    <x v="6"/>
    <s v="Maharashtra"/>
    <x v="1"/>
    <s v="Stationery"/>
    <s v="Marker"/>
    <n v="1"/>
    <n v="4263"/>
    <n v="974.83"/>
    <x v="2"/>
    <x v="1"/>
    <x v="4"/>
    <n v="2025"/>
    <s v="Q2"/>
    <n v="0.22867229650480883"/>
    <s v="MEDIUM"/>
    <n v="0"/>
  </r>
  <r>
    <n v="10218"/>
    <s v="10-Jan-2025"/>
    <x v="122"/>
    <x v="3"/>
    <s v="Gujarat"/>
    <x v="0"/>
    <s v="Audio"/>
    <s v="Headphones"/>
    <n v="2"/>
    <n v="3892.8"/>
    <n v="1017.72"/>
    <x v="3"/>
    <x v="1"/>
    <x v="0"/>
    <n v="2025"/>
    <s v="Q1"/>
    <n v="0.26143649815043157"/>
    <s v="MEDIUM"/>
    <n v="0.2"/>
  </r>
  <r>
    <n v="10219"/>
    <s v="29-Aug-2025"/>
    <x v="116"/>
    <x v="1"/>
    <s v="Tamil Nadu"/>
    <x v="1"/>
    <s v="Stationery"/>
    <s v="Marker"/>
    <n v="1"/>
    <n v="4964"/>
    <n v="803.57"/>
    <x v="2"/>
    <x v="4"/>
    <x v="5"/>
    <n v="2025"/>
    <s v="Q3"/>
    <n v="0.16187953263497182"/>
    <s v="MEDIUM"/>
    <n v="0"/>
  </r>
  <r>
    <n v="10220"/>
    <s v="24-May-2025"/>
    <x v="55"/>
    <x v="6"/>
    <s v="Maharashtra"/>
    <x v="1"/>
    <s v="Stationery"/>
    <s v="Marker"/>
    <n v="5"/>
    <n v="17136"/>
    <n v="4109.92"/>
    <x v="1"/>
    <x v="0"/>
    <x v="6"/>
    <n v="2025"/>
    <s v="Q2"/>
    <n v="0.23984126984126986"/>
    <s v="HIGH"/>
    <n v="0.1"/>
  </r>
  <r>
    <n v="10221"/>
    <s v="25-May-2025"/>
    <x v="31"/>
    <x v="2"/>
    <s v="West Bengal"/>
    <x v="1"/>
    <s v="Stationery"/>
    <s v="Marker"/>
    <n v="3"/>
    <n v="6109.8"/>
    <n v="1036.1600000000001"/>
    <x v="0"/>
    <x v="4"/>
    <x v="6"/>
    <n v="2025"/>
    <s v="Q2"/>
    <n v="0.16958983927460802"/>
    <s v="HIGH"/>
    <n v="0.15"/>
  </r>
  <r>
    <n v="10222"/>
    <s v="29-Apr-2025"/>
    <x v="128"/>
    <x v="1"/>
    <s v="Tamil Nadu"/>
    <x v="2"/>
    <s v="Chairs"/>
    <s v="Chair"/>
    <n v="6"/>
    <n v="16207.8"/>
    <n v="3564.6"/>
    <x v="0"/>
    <x v="2"/>
    <x v="4"/>
    <n v="2025"/>
    <s v="Q2"/>
    <n v="0.21993114426387295"/>
    <s v="HIGH"/>
    <n v="0.15"/>
  </r>
  <r>
    <n v="10223"/>
    <s v="26-Feb-2025"/>
    <x v="57"/>
    <x v="2"/>
    <s v="West Bengal"/>
    <x v="1"/>
    <s v="Stationery"/>
    <s v="Notebook"/>
    <n v="8"/>
    <n v="4996.8"/>
    <n v="456.48"/>
    <x v="1"/>
    <x v="2"/>
    <x v="1"/>
    <n v="2025"/>
    <s v="Q1"/>
    <n v="9.1354466858789632E-2"/>
    <s v="MEDIUM"/>
    <n v="0.1"/>
  </r>
  <r>
    <n v="10224"/>
    <s v="29-May-2025"/>
    <x v="126"/>
    <x v="3"/>
    <s v="Gujarat"/>
    <x v="0"/>
    <s v="Accessories"/>
    <s v="Keyboard"/>
    <n v="1"/>
    <n v="818.55"/>
    <n v="194.23"/>
    <x v="0"/>
    <x v="2"/>
    <x v="6"/>
    <n v="2025"/>
    <s v="Q2"/>
    <n v="0.23728544377252458"/>
    <s v="LOW"/>
    <n v="0.15"/>
  </r>
  <r>
    <n v="10225"/>
    <s v="10-Jul-2025"/>
    <x v="80"/>
    <x v="0"/>
    <s v="Maharashtra"/>
    <x v="0"/>
    <s v="Accessories"/>
    <s v="Keyboard"/>
    <n v="6"/>
    <n v="11367.9"/>
    <n v="1073.6300000000001"/>
    <x v="0"/>
    <x v="0"/>
    <x v="2"/>
    <n v="2025"/>
    <s v="Q3"/>
    <n v="9.4444004609470542E-2"/>
    <s v="HIGH"/>
    <n v="0.15"/>
  </r>
  <r>
    <n v="10226"/>
    <s v="09-Feb-2025"/>
    <x v="129"/>
    <x v="1"/>
    <s v="Tamil Nadu"/>
    <x v="2"/>
    <s v="Tables"/>
    <s v="Table"/>
    <n v="2"/>
    <n v="4729.6000000000004"/>
    <n v="909.05"/>
    <x v="3"/>
    <x v="0"/>
    <x v="1"/>
    <n v="2025"/>
    <s v="Q1"/>
    <n v="0.19220441474966168"/>
    <s v="MEDIUM"/>
    <n v="0.2"/>
  </r>
  <r>
    <n v="10227"/>
    <s v="09-May-2025"/>
    <x v="130"/>
    <x v="0"/>
    <s v="Maharashtra"/>
    <x v="0"/>
    <s v="Computers"/>
    <s v="Laptop"/>
    <n v="7"/>
    <n v="24015.599999999999"/>
    <n v="4804.6000000000004"/>
    <x v="1"/>
    <x v="1"/>
    <x v="6"/>
    <n v="2025"/>
    <s v="Q2"/>
    <n v="0.2000616266093706"/>
    <s v="HIGH"/>
    <n v="0.1"/>
  </r>
  <r>
    <n v="10228"/>
    <s v="05-Oct-2025"/>
    <x v="75"/>
    <x v="4"/>
    <s v="Telangana"/>
    <x v="2"/>
    <s v="Office"/>
    <s v="Desk"/>
    <n v="1"/>
    <n v="3903.2"/>
    <n v="936.66"/>
    <x v="3"/>
    <x v="1"/>
    <x v="7"/>
    <n v="2025"/>
    <s v="Q4"/>
    <n v="0.23997233039557286"/>
    <s v="MEDIUM"/>
    <n v="0.2"/>
  </r>
  <r>
    <n v="10229"/>
    <s v="06-Aug-2025"/>
    <x v="58"/>
    <x v="5"/>
    <s v="Karnataka"/>
    <x v="0"/>
    <s v="Computers"/>
    <s v="Laptop"/>
    <n v="8"/>
    <n v="22280"/>
    <n v="6396.48"/>
    <x v="2"/>
    <x v="4"/>
    <x v="5"/>
    <n v="2025"/>
    <s v="Q3"/>
    <n v="0.2870951526032316"/>
    <s v="HIGH"/>
    <n v="0"/>
  </r>
  <r>
    <n v="10230"/>
    <s v="21-Mar-2025"/>
    <x v="130"/>
    <x v="7"/>
    <s v="Delhi"/>
    <x v="2"/>
    <s v="Tables"/>
    <s v="Table"/>
    <n v="7"/>
    <n v="5503.75"/>
    <n v="630.33000000000004"/>
    <x v="0"/>
    <x v="3"/>
    <x v="8"/>
    <n v="2025"/>
    <s v="Q1"/>
    <n v="0.1145273677038383"/>
    <s v="HIGH"/>
    <n v="0.15"/>
  </r>
  <r>
    <n v="10231"/>
    <s v="16-Jan-2025"/>
    <x v="9"/>
    <x v="4"/>
    <s v="Telangana"/>
    <x v="0"/>
    <s v="Computers"/>
    <s v="Laptop"/>
    <n v="2"/>
    <n v="5710"/>
    <n v="1451.49"/>
    <x v="2"/>
    <x v="0"/>
    <x v="0"/>
    <n v="2025"/>
    <s v="Q1"/>
    <n v="0.25420140105078809"/>
    <s v="HIGH"/>
    <n v="0"/>
  </r>
  <r>
    <n v="10232"/>
    <s v="06-Oct-2025"/>
    <x v="26"/>
    <x v="6"/>
    <s v="Maharashtra"/>
    <x v="1"/>
    <s v="Stationery"/>
    <s v="Marker"/>
    <n v="3"/>
    <n v="4225.3500000000004"/>
    <n v="411.02"/>
    <x v="0"/>
    <x v="2"/>
    <x v="7"/>
    <n v="2025"/>
    <s v="Q4"/>
    <n v="9.7274781970724311E-2"/>
    <s v="MEDIUM"/>
    <n v="0.15"/>
  </r>
  <r>
    <n v="10233"/>
    <s v="29-May-2025"/>
    <x v="131"/>
    <x v="5"/>
    <s v="Karnataka"/>
    <x v="1"/>
    <s v="Stationery"/>
    <s v="Pen"/>
    <n v="8"/>
    <n v="20236.8"/>
    <n v="4286.7700000000004"/>
    <x v="3"/>
    <x v="3"/>
    <x v="6"/>
    <n v="2025"/>
    <s v="Q2"/>
    <n v="0.21183042773561039"/>
    <s v="HIGH"/>
    <n v="0.2"/>
  </r>
  <r>
    <n v="10234"/>
    <s v="10-Feb-2025"/>
    <x v="118"/>
    <x v="1"/>
    <s v="Tamil Nadu"/>
    <x v="2"/>
    <s v="Tables"/>
    <s v="Table"/>
    <n v="8"/>
    <n v="18876.8"/>
    <n v="4710.8100000000004"/>
    <x v="0"/>
    <x v="1"/>
    <x v="1"/>
    <n v="2025"/>
    <s v="Q1"/>
    <n v="0.24955553907441944"/>
    <s v="HIGH"/>
    <n v="0.15"/>
  </r>
  <r>
    <n v="10235"/>
    <s v="08-Jul-2025"/>
    <x v="132"/>
    <x v="1"/>
    <s v="Tamil Nadu"/>
    <x v="1"/>
    <s v="Stationery"/>
    <s v="Notebook"/>
    <n v="4"/>
    <n v="5943.2"/>
    <n v="1200.18"/>
    <x v="0"/>
    <x v="4"/>
    <x v="2"/>
    <n v="2025"/>
    <s v="Q3"/>
    <n v="0.20194171490106341"/>
    <s v="HIGH"/>
    <n v="0.15"/>
  </r>
  <r>
    <n v="10236"/>
    <s v="13-Oct-2025"/>
    <x v="114"/>
    <x v="7"/>
    <s v="Delhi"/>
    <x v="2"/>
    <s v="Tables"/>
    <s v="Table"/>
    <n v="7"/>
    <n v="21742"/>
    <n v="2975.61"/>
    <x v="2"/>
    <x v="1"/>
    <x v="7"/>
    <n v="2025"/>
    <s v="Q4"/>
    <n v="0.13685999448072855"/>
    <s v="HIGH"/>
    <n v="0"/>
  </r>
  <r>
    <n v="10237"/>
    <s v="17-Jul-2025"/>
    <x v="26"/>
    <x v="3"/>
    <s v="Gujarat"/>
    <x v="2"/>
    <s v="Living Room"/>
    <s v="Sofa"/>
    <n v="3"/>
    <n v="5373"/>
    <n v="1394.21"/>
    <x v="2"/>
    <x v="4"/>
    <x v="2"/>
    <n v="2025"/>
    <s v="Q3"/>
    <n v="0.25948445933370556"/>
    <s v="HIGH"/>
    <n v="0"/>
  </r>
  <r>
    <n v="10238"/>
    <s v="07-May-2025"/>
    <x v="31"/>
    <x v="4"/>
    <s v="Telangana"/>
    <x v="1"/>
    <s v="Stationery"/>
    <s v="Marker"/>
    <n v="4"/>
    <n v="12308.2"/>
    <n v="1607.15"/>
    <x v="4"/>
    <x v="0"/>
    <x v="6"/>
    <n v="2025"/>
    <s v="Q2"/>
    <n v="0.13057555125851059"/>
    <s v="HIGH"/>
    <n v="0.05"/>
  </r>
  <r>
    <n v="10239"/>
    <s v="29-Aug-2025"/>
    <x v="48"/>
    <x v="4"/>
    <s v="Telangana"/>
    <x v="0"/>
    <s v="Accessories"/>
    <s v="Keyboard"/>
    <n v="1"/>
    <n v="1180.8"/>
    <n v="187.33"/>
    <x v="1"/>
    <x v="3"/>
    <x v="5"/>
    <n v="2025"/>
    <s v="Q3"/>
    <n v="0.15864668021680217"/>
    <s v="MEDIUM"/>
    <n v="0.1"/>
  </r>
  <r>
    <n v="10240"/>
    <s v="26-Mar-2025"/>
    <x v="133"/>
    <x v="2"/>
    <s v="West Bengal"/>
    <x v="2"/>
    <s v="Chairs"/>
    <s v="Chair"/>
    <n v="7"/>
    <n v="15022.35"/>
    <n v="3520.54"/>
    <x v="4"/>
    <x v="1"/>
    <x v="8"/>
    <n v="2025"/>
    <s v="Q1"/>
    <n v="0.23435347998149422"/>
    <s v="HIGH"/>
    <n v="0.05"/>
  </r>
  <r>
    <n v="10241"/>
    <s v="19-Oct-2025"/>
    <x v="89"/>
    <x v="4"/>
    <s v="Telangana"/>
    <x v="1"/>
    <s v="Paper"/>
    <s v="Printer Paper"/>
    <n v="6"/>
    <n v="15462"/>
    <n v="1369.11"/>
    <x v="2"/>
    <x v="3"/>
    <x v="7"/>
    <n v="2025"/>
    <s v="Q4"/>
    <n v="8.8546759798214969E-2"/>
    <s v="HIGH"/>
    <n v="0"/>
  </r>
  <r>
    <n v="10242"/>
    <s v="19-Oct-2025"/>
    <x v="134"/>
    <x v="3"/>
    <s v="Gujarat"/>
    <x v="2"/>
    <s v="Chairs"/>
    <s v="Chair"/>
    <n v="5"/>
    <n v="2889"/>
    <n v="584.23"/>
    <x v="1"/>
    <x v="2"/>
    <x v="7"/>
    <n v="2025"/>
    <s v="Q4"/>
    <n v="0.2022256836275528"/>
    <s v="MEDIUM"/>
    <n v="0.1"/>
  </r>
  <r>
    <n v="10243"/>
    <s v="11-Oct-2025"/>
    <x v="135"/>
    <x v="5"/>
    <s v="Karnataka"/>
    <x v="0"/>
    <s v="Accessories"/>
    <s v="Keyboard"/>
    <n v="3"/>
    <n v="10220.1"/>
    <n v="1304.46"/>
    <x v="4"/>
    <x v="0"/>
    <x v="7"/>
    <n v="2025"/>
    <s v="Q4"/>
    <n v="0.12763671588340622"/>
    <s v="HIGH"/>
    <n v="0.05"/>
  </r>
  <r>
    <n v="10244"/>
    <s v="18-Dec-2025"/>
    <x v="45"/>
    <x v="1"/>
    <s v="Tamil Nadu"/>
    <x v="2"/>
    <s v="Office"/>
    <s v="Desk"/>
    <n v="5"/>
    <n v="4833"/>
    <n v="1430.52"/>
    <x v="1"/>
    <x v="1"/>
    <x v="9"/>
    <n v="2025"/>
    <s v="Q4"/>
    <n v="0.29599006828057106"/>
    <s v="MEDIUM"/>
    <n v="0.1"/>
  </r>
  <r>
    <n v="10245"/>
    <s v="19-Sep-2025"/>
    <x v="95"/>
    <x v="5"/>
    <s v="Karnataka"/>
    <x v="1"/>
    <s v="Paper"/>
    <s v="Printer Paper"/>
    <n v="4"/>
    <n v="5449.2"/>
    <n v="722.26"/>
    <x v="4"/>
    <x v="2"/>
    <x v="3"/>
    <n v="2025"/>
    <s v="Q3"/>
    <n v="0.1325442266754753"/>
    <s v="HIGH"/>
    <n v="0.05"/>
  </r>
  <r>
    <n v="10246"/>
    <s v="14-Oct-2025"/>
    <x v="58"/>
    <x v="0"/>
    <s v="Maharashtra"/>
    <x v="1"/>
    <s v="Stationery"/>
    <s v="Notebook"/>
    <n v="6"/>
    <n v="672"/>
    <n v="175.31"/>
    <x v="3"/>
    <x v="2"/>
    <x v="7"/>
    <n v="2025"/>
    <s v="Q4"/>
    <n v="0.2608779761904762"/>
    <s v="LOW"/>
    <n v="0.2"/>
  </r>
  <r>
    <n v="10247"/>
    <s v="16-Jan-2025"/>
    <x v="136"/>
    <x v="4"/>
    <s v="Telangana"/>
    <x v="2"/>
    <s v="Tables"/>
    <s v="Table"/>
    <n v="4"/>
    <n v="7619.2"/>
    <n v="1016.63"/>
    <x v="3"/>
    <x v="1"/>
    <x v="0"/>
    <n v="2025"/>
    <s v="Q1"/>
    <n v="0.133430018899622"/>
    <s v="HIGH"/>
    <n v="0.2"/>
  </r>
  <r>
    <n v="10248"/>
    <s v="23-Nov-2025"/>
    <x v="61"/>
    <x v="1"/>
    <s v="Tamil Nadu"/>
    <x v="0"/>
    <s v="Computers"/>
    <s v="Laptop"/>
    <n v="1"/>
    <n v="254.4"/>
    <n v="55.74"/>
    <x v="3"/>
    <x v="1"/>
    <x v="10"/>
    <n v="2025"/>
    <s v="Q4"/>
    <n v="0.21910377358490565"/>
    <s v="LOW"/>
    <n v="0.2"/>
  </r>
  <r>
    <n v="10249"/>
    <s v="14-Mar-2025"/>
    <x v="22"/>
    <x v="0"/>
    <s v="Maharashtra"/>
    <x v="0"/>
    <s v="Accessories"/>
    <s v="Keyboard"/>
    <n v="6"/>
    <n v="23376"/>
    <n v="2416.1"/>
    <x v="3"/>
    <x v="4"/>
    <x v="8"/>
    <n v="2025"/>
    <s v="Q1"/>
    <n v="0.10335814510609172"/>
    <s v="HIGH"/>
    <n v="0.2"/>
  </r>
  <r>
    <n v="10250"/>
    <s v="22-Jan-2025"/>
    <x v="50"/>
    <x v="1"/>
    <s v="Tamil Nadu"/>
    <x v="1"/>
    <s v="Stationery"/>
    <s v="Notebook"/>
    <n v="7"/>
    <n v="14212.8"/>
    <n v="3665.34"/>
    <x v="3"/>
    <x v="0"/>
    <x v="0"/>
    <n v="2025"/>
    <s v="Q1"/>
    <n v="0.25789007092198585"/>
    <s v="HIGH"/>
    <n v="0.2"/>
  </r>
  <r>
    <n v="10251"/>
    <s v="14-Jan-2025"/>
    <x v="137"/>
    <x v="7"/>
    <s v="Delhi"/>
    <x v="0"/>
    <s v="Computers"/>
    <s v="Laptop"/>
    <n v="8"/>
    <n v="14144"/>
    <n v="3866.38"/>
    <x v="3"/>
    <x v="4"/>
    <x v="0"/>
    <n v="2025"/>
    <s v="Q1"/>
    <n v="0.27335831447963804"/>
    <s v="HIGH"/>
    <n v="0.2"/>
  </r>
  <r>
    <n v="10252"/>
    <s v="22-Jun-2025"/>
    <x v="14"/>
    <x v="4"/>
    <s v="Telangana"/>
    <x v="1"/>
    <s v="Stationery"/>
    <s v="Pen"/>
    <n v="5"/>
    <n v="3105"/>
    <n v="828.73"/>
    <x v="2"/>
    <x v="2"/>
    <x v="11"/>
    <n v="2025"/>
    <s v="Q2"/>
    <n v="0.26690177133655396"/>
    <s v="MEDIUM"/>
    <n v="0"/>
  </r>
  <r>
    <n v="10253"/>
    <s v="02-Dec-2025"/>
    <x v="138"/>
    <x v="3"/>
    <s v="Gujarat"/>
    <x v="2"/>
    <s v="Chairs"/>
    <s v="Chair"/>
    <n v="2"/>
    <n v="992"/>
    <n v="171.4"/>
    <x v="2"/>
    <x v="3"/>
    <x v="9"/>
    <n v="2025"/>
    <s v="Q4"/>
    <n v="0.17278225806451614"/>
    <s v="LOW"/>
    <n v="0"/>
  </r>
  <r>
    <n v="10254"/>
    <s v="09-Apr-2025"/>
    <x v="139"/>
    <x v="0"/>
    <s v="Maharashtra"/>
    <x v="0"/>
    <s v="Audio"/>
    <s v="Headphones"/>
    <n v="5"/>
    <n v="17175"/>
    <n v="1375.76"/>
    <x v="2"/>
    <x v="3"/>
    <x v="4"/>
    <n v="2025"/>
    <s v="Q2"/>
    <n v="8.0102474526928674E-2"/>
    <s v="HIGH"/>
    <n v="0"/>
  </r>
  <r>
    <n v="10255"/>
    <s v="14-Jul-2025"/>
    <x v="140"/>
    <x v="2"/>
    <s v="West Bengal"/>
    <x v="2"/>
    <s v="Living Room"/>
    <s v="Sofa"/>
    <n v="8"/>
    <n v="24266.799999999999"/>
    <n v="7004.11"/>
    <x v="4"/>
    <x v="1"/>
    <x v="2"/>
    <n v="2025"/>
    <s v="Q3"/>
    <n v="0.288629320718018"/>
    <s v="HIGH"/>
    <n v="0.05"/>
  </r>
  <r>
    <n v="10256"/>
    <s v="04-Jun-2025"/>
    <x v="89"/>
    <x v="6"/>
    <s v="Maharashtra"/>
    <x v="1"/>
    <s v="Paper"/>
    <s v="Printer Paper"/>
    <n v="2"/>
    <n v="6217.6"/>
    <n v="1015.41"/>
    <x v="3"/>
    <x v="3"/>
    <x v="11"/>
    <n v="2025"/>
    <s v="Q2"/>
    <n v="0.16331221049922798"/>
    <s v="HIGH"/>
    <n v="0.2"/>
  </r>
  <r>
    <n v="10257"/>
    <s v="20-Jun-2025"/>
    <x v="2"/>
    <x v="7"/>
    <s v="Delhi"/>
    <x v="0"/>
    <s v="Audio"/>
    <s v="Headphones"/>
    <n v="2"/>
    <n v="7871.4"/>
    <n v="723.23"/>
    <x v="1"/>
    <x v="3"/>
    <x v="11"/>
    <n v="2025"/>
    <s v="Q2"/>
    <n v="9.1880732779429333E-2"/>
    <s v="HIGH"/>
    <n v="0.1"/>
  </r>
  <r>
    <n v="10258"/>
    <s v="03-Feb-2025"/>
    <x v="104"/>
    <x v="4"/>
    <s v="Telangana"/>
    <x v="2"/>
    <s v="Office"/>
    <s v="Desk"/>
    <n v="1"/>
    <n v="1214.6500000000001"/>
    <n v="192.36"/>
    <x v="0"/>
    <x v="0"/>
    <x v="1"/>
    <n v="2025"/>
    <s v="Q1"/>
    <n v="0.15836660766475941"/>
    <s v="MEDIUM"/>
    <n v="0.15"/>
  </r>
  <r>
    <n v="10259"/>
    <s v="06-Nov-2025"/>
    <x v="141"/>
    <x v="0"/>
    <s v="Maharashtra"/>
    <x v="1"/>
    <s v="Stationery"/>
    <s v="Marker"/>
    <n v="7"/>
    <n v="7949.2"/>
    <n v="1405.07"/>
    <x v="0"/>
    <x v="1"/>
    <x v="10"/>
    <n v="2025"/>
    <s v="Q4"/>
    <n v="0.17675615156242136"/>
    <s v="HIGH"/>
    <n v="0.15"/>
  </r>
  <r>
    <n v="10260"/>
    <s v="31-Mar-2025"/>
    <x v="109"/>
    <x v="6"/>
    <s v="Maharashtra"/>
    <x v="1"/>
    <s v="Stationery"/>
    <s v="Pen"/>
    <n v="5"/>
    <n v="8988.75"/>
    <n v="758.14"/>
    <x v="0"/>
    <x v="3"/>
    <x v="8"/>
    <n v="2025"/>
    <s v="Q1"/>
    <n v="8.4343206786260602E-2"/>
    <s v="HIGH"/>
    <n v="0.15"/>
  </r>
  <r>
    <n v="10261"/>
    <s v="02-Jun-2025"/>
    <x v="142"/>
    <x v="5"/>
    <s v="Karnataka"/>
    <x v="2"/>
    <s v="Tables"/>
    <s v="Table"/>
    <n v="8"/>
    <n v="5198.3999999999996"/>
    <n v="1279.8"/>
    <x v="4"/>
    <x v="2"/>
    <x v="11"/>
    <n v="2025"/>
    <s v="Q2"/>
    <n v="0.24619113573407203"/>
    <s v="HIGH"/>
    <n v="0.05"/>
  </r>
  <r>
    <n v="10262"/>
    <s v="07-Aug-2025"/>
    <x v="48"/>
    <x v="0"/>
    <s v="Maharashtra"/>
    <x v="0"/>
    <s v="Accessories"/>
    <s v="Mouse"/>
    <n v="5"/>
    <n v="19950"/>
    <n v="3091.99"/>
    <x v="4"/>
    <x v="3"/>
    <x v="5"/>
    <n v="2025"/>
    <s v="Q3"/>
    <n v="0.15498696741854637"/>
    <s v="HIGH"/>
    <n v="0.05"/>
  </r>
  <r>
    <n v="10263"/>
    <s v="22-Apr-2025"/>
    <x v="53"/>
    <x v="6"/>
    <s v="Maharashtra"/>
    <x v="2"/>
    <s v="Chairs"/>
    <s v="Chair"/>
    <n v="8"/>
    <n v="7942.4"/>
    <n v="897.15"/>
    <x v="0"/>
    <x v="2"/>
    <x v="4"/>
    <n v="2025"/>
    <s v="Q2"/>
    <n v="0.11295704069298952"/>
    <s v="HIGH"/>
    <n v="0.15"/>
  </r>
  <r>
    <n v="10264"/>
    <s v="27-Dec-2025"/>
    <x v="19"/>
    <x v="5"/>
    <s v="Karnataka"/>
    <x v="0"/>
    <s v="Accessories"/>
    <s v="Keyboard"/>
    <n v="8"/>
    <n v="23555.200000000001"/>
    <n v="4630.8"/>
    <x v="0"/>
    <x v="0"/>
    <x v="9"/>
    <n v="2025"/>
    <s v="Q4"/>
    <n v="0.19659353348729791"/>
    <s v="HIGH"/>
    <n v="0.15"/>
  </r>
  <r>
    <n v="10265"/>
    <s v="31-Mar-2025"/>
    <x v="143"/>
    <x v="3"/>
    <s v="Gujarat"/>
    <x v="1"/>
    <s v="Stationery"/>
    <s v="Pen"/>
    <n v="6"/>
    <n v="23550"/>
    <n v="5034.99"/>
    <x v="2"/>
    <x v="2"/>
    <x v="8"/>
    <n v="2025"/>
    <s v="Q1"/>
    <n v="0.21379999999999999"/>
    <s v="HIGH"/>
    <n v="0"/>
  </r>
  <r>
    <n v="10266"/>
    <s v="23-Aug-2025"/>
    <x v="132"/>
    <x v="7"/>
    <s v="Delhi"/>
    <x v="1"/>
    <s v="Stationery"/>
    <s v="Notebook"/>
    <n v="2"/>
    <n v="6282"/>
    <n v="956.96"/>
    <x v="2"/>
    <x v="4"/>
    <x v="5"/>
    <n v="2025"/>
    <s v="Q3"/>
    <n v="0.15233365170327923"/>
    <s v="HIGH"/>
    <n v="0"/>
  </r>
  <r>
    <n v="10267"/>
    <s v="01-Oct-2025"/>
    <x v="144"/>
    <x v="1"/>
    <s v="Tamil Nadu"/>
    <x v="1"/>
    <s v="Stationery"/>
    <s v="Pen"/>
    <n v="7"/>
    <n v="21512.75"/>
    <n v="3521.81"/>
    <x v="4"/>
    <x v="1"/>
    <x v="7"/>
    <n v="2025"/>
    <s v="Q4"/>
    <n v="0.16370803360797667"/>
    <s v="HIGH"/>
    <n v="0.05"/>
  </r>
  <r>
    <n v="10268"/>
    <s v="18-Feb-2025"/>
    <x v="95"/>
    <x v="6"/>
    <s v="Maharashtra"/>
    <x v="0"/>
    <s v="Accessories"/>
    <s v="Mouse"/>
    <n v="1"/>
    <n v="765"/>
    <n v="152.4"/>
    <x v="0"/>
    <x v="4"/>
    <x v="1"/>
    <n v="2025"/>
    <s v="Q1"/>
    <n v="0.19921568627450981"/>
    <s v="LOW"/>
    <n v="0.15"/>
  </r>
  <r>
    <n v="10269"/>
    <s v="24-Mar-2025"/>
    <x v="57"/>
    <x v="0"/>
    <s v="Maharashtra"/>
    <x v="2"/>
    <s v="Tables"/>
    <s v="Table"/>
    <n v="7"/>
    <n v="19477.849999999999"/>
    <n v="2015.5"/>
    <x v="4"/>
    <x v="4"/>
    <x v="8"/>
    <n v="2025"/>
    <s v="Q1"/>
    <n v="0.10347651306484032"/>
    <s v="HIGH"/>
    <n v="0.05"/>
  </r>
  <r>
    <n v="10270"/>
    <s v="06-Jul-2025"/>
    <x v="112"/>
    <x v="5"/>
    <s v="Karnataka"/>
    <x v="0"/>
    <s v="Accessories"/>
    <s v="Mouse"/>
    <n v="7"/>
    <n v="6339.2"/>
    <n v="565.22"/>
    <x v="3"/>
    <x v="3"/>
    <x v="2"/>
    <n v="2025"/>
    <s v="Q3"/>
    <n v="8.9162670368500771E-2"/>
    <s v="HIGH"/>
    <n v="0.2"/>
  </r>
  <r>
    <n v="10271"/>
    <s v="11-Jun-2025"/>
    <x v="145"/>
    <x v="1"/>
    <s v="Tamil Nadu"/>
    <x v="1"/>
    <s v="Stationery"/>
    <s v="Notebook"/>
    <n v="6"/>
    <n v="7951.5"/>
    <n v="2130.5700000000002"/>
    <x v="4"/>
    <x v="0"/>
    <x v="11"/>
    <n v="2025"/>
    <s v="Q2"/>
    <n v="0.26794567062818336"/>
    <s v="HIGH"/>
    <n v="0.05"/>
  </r>
  <r>
    <n v="10272"/>
    <s v="22-Oct-2025"/>
    <x v="146"/>
    <x v="3"/>
    <s v="Gujarat"/>
    <x v="1"/>
    <s v="Paper"/>
    <s v="Printer Paper"/>
    <n v="8"/>
    <n v="15837.2"/>
    <n v="3079.39"/>
    <x v="0"/>
    <x v="4"/>
    <x v="7"/>
    <n v="2025"/>
    <s v="Q4"/>
    <n v="0.19444030510443763"/>
    <s v="HIGH"/>
    <n v="0.15"/>
  </r>
  <r>
    <n v="10273"/>
    <s v="11-Mar-2025"/>
    <x v="106"/>
    <x v="7"/>
    <s v="Delhi"/>
    <x v="1"/>
    <s v="Stationery"/>
    <s v="Notebook"/>
    <n v="6"/>
    <n v="8385.6"/>
    <n v="1821.71"/>
    <x v="3"/>
    <x v="3"/>
    <x v="8"/>
    <n v="2025"/>
    <s v="Q1"/>
    <n v="0.21724265407365007"/>
    <s v="HIGH"/>
    <n v="0.2"/>
  </r>
  <r>
    <n v="10274"/>
    <s v="11-Oct-2025"/>
    <x v="21"/>
    <x v="7"/>
    <s v="Delhi"/>
    <x v="1"/>
    <s v="Stationery"/>
    <s v="Pen"/>
    <n v="7"/>
    <n v="15479.1"/>
    <n v="1933.48"/>
    <x v="1"/>
    <x v="1"/>
    <x v="7"/>
    <n v="2025"/>
    <s v="Q4"/>
    <n v="0.12490907094081698"/>
    <s v="HIGH"/>
    <n v="0.1"/>
  </r>
  <r>
    <n v="10275"/>
    <s v="08-Feb-2025"/>
    <x v="130"/>
    <x v="3"/>
    <s v="Gujarat"/>
    <x v="0"/>
    <s v="Accessories"/>
    <s v="Keyboard"/>
    <n v="8"/>
    <n v="36024"/>
    <n v="4023.9"/>
    <x v="2"/>
    <x v="0"/>
    <x v="1"/>
    <n v="2025"/>
    <s v="Q1"/>
    <n v="0.11170053297801466"/>
    <s v="HIGH"/>
    <n v="0"/>
  </r>
  <r>
    <n v="10276"/>
    <s v="10-Jun-2025"/>
    <x v="109"/>
    <x v="2"/>
    <s v="West Bengal"/>
    <x v="0"/>
    <s v="Accessories"/>
    <s v="Mouse"/>
    <n v="6"/>
    <n v="4763.3999999999996"/>
    <n v="885.64"/>
    <x v="0"/>
    <x v="1"/>
    <x v="11"/>
    <n v="2025"/>
    <s v="Q2"/>
    <n v="0.1859260192299618"/>
    <s v="MEDIUM"/>
    <n v="0.15"/>
  </r>
  <r>
    <n v="10277"/>
    <s v="22-Jul-2025"/>
    <x v="35"/>
    <x v="7"/>
    <s v="Delhi"/>
    <x v="2"/>
    <s v="Tables"/>
    <s v="Table"/>
    <n v="7"/>
    <n v="25727.8"/>
    <n v="4130.8599999999997"/>
    <x v="0"/>
    <x v="2"/>
    <x v="2"/>
    <n v="2025"/>
    <s v="Q3"/>
    <n v="0.1605601722650207"/>
    <s v="HIGH"/>
    <n v="0.15"/>
  </r>
  <r>
    <n v="10278"/>
    <s v="05-Sep-2025"/>
    <x v="132"/>
    <x v="6"/>
    <s v="Maharashtra"/>
    <x v="0"/>
    <s v="Audio"/>
    <s v="Headphones"/>
    <n v="6"/>
    <n v="20106"/>
    <n v="5759.13"/>
    <x v="2"/>
    <x v="2"/>
    <x v="3"/>
    <n v="2025"/>
    <s v="Q3"/>
    <n v="0.28643837660399879"/>
    <s v="HIGH"/>
    <n v="0"/>
  </r>
  <r>
    <n v="10279"/>
    <s v="04-May-2025"/>
    <x v="48"/>
    <x v="5"/>
    <s v="Karnataka"/>
    <x v="2"/>
    <s v="Office"/>
    <s v="Desk"/>
    <n v="4"/>
    <n v="15636"/>
    <n v="2456.31"/>
    <x v="2"/>
    <x v="1"/>
    <x v="6"/>
    <n v="2025"/>
    <s v="Q2"/>
    <n v="0.15709324635456637"/>
    <s v="HIGH"/>
    <n v="0"/>
  </r>
  <r>
    <n v="10280"/>
    <s v="01-Oct-2025"/>
    <x v="41"/>
    <x v="0"/>
    <s v="Maharashtra"/>
    <x v="1"/>
    <s v="Paper"/>
    <s v="Printer Paper"/>
    <n v="2"/>
    <n v="1544"/>
    <n v="365.64"/>
    <x v="2"/>
    <x v="0"/>
    <x v="7"/>
    <n v="2025"/>
    <s v="Q4"/>
    <n v="0.23681347150259066"/>
    <s v="MEDIUM"/>
    <n v="0"/>
  </r>
  <r>
    <n v="10281"/>
    <s v="24-Sep-2025"/>
    <x v="123"/>
    <x v="5"/>
    <s v="Karnataka"/>
    <x v="0"/>
    <s v="Computers"/>
    <s v="Laptop"/>
    <n v="3"/>
    <n v="4725.3"/>
    <n v="775.71"/>
    <x v="4"/>
    <x v="4"/>
    <x v="3"/>
    <n v="2025"/>
    <s v="Q3"/>
    <n v="0.1641610056504349"/>
    <s v="MEDIUM"/>
    <n v="0.05"/>
  </r>
  <r>
    <n v="10282"/>
    <s v="16-May-2025"/>
    <x v="147"/>
    <x v="4"/>
    <s v="Telangana"/>
    <x v="1"/>
    <s v="Paper"/>
    <s v="Printer Paper"/>
    <n v="6"/>
    <n v="4788"/>
    <n v="857.81"/>
    <x v="4"/>
    <x v="1"/>
    <x v="6"/>
    <n v="2025"/>
    <s v="Q2"/>
    <n v="0.17915831244778613"/>
    <s v="MEDIUM"/>
    <n v="0.05"/>
  </r>
  <r>
    <n v="10283"/>
    <s v="08-Apr-2025"/>
    <x v="148"/>
    <x v="2"/>
    <s v="West Bengal"/>
    <x v="0"/>
    <s v="Accessories"/>
    <s v="Keyboard"/>
    <n v="3"/>
    <n v="8871.4500000000007"/>
    <n v="1797.44"/>
    <x v="0"/>
    <x v="0"/>
    <x v="4"/>
    <n v="2025"/>
    <s v="Q2"/>
    <n v="0.20260949450202614"/>
    <s v="HIGH"/>
    <n v="0.15"/>
  </r>
  <r>
    <n v="10284"/>
    <s v="07-Dec-2025"/>
    <x v="49"/>
    <x v="3"/>
    <s v="Gujarat"/>
    <x v="2"/>
    <s v="Living Room"/>
    <s v="Sofa"/>
    <n v="6"/>
    <n v="8461.7999999999993"/>
    <n v="1619.44"/>
    <x v="1"/>
    <x v="2"/>
    <x v="9"/>
    <n v="2025"/>
    <s v="Q4"/>
    <n v="0.19138244817887448"/>
    <s v="HIGH"/>
    <n v="0.1"/>
  </r>
  <r>
    <n v="10285"/>
    <s v="26-May-2025"/>
    <x v="66"/>
    <x v="6"/>
    <s v="Maharashtra"/>
    <x v="2"/>
    <s v="Living Room"/>
    <s v="Sofa"/>
    <n v="1"/>
    <n v="505"/>
    <n v="71.03"/>
    <x v="2"/>
    <x v="0"/>
    <x v="6"/>
    <n v="2025"/>
    <s v="Q2"/>
    <n v="0.14065346534653467"/>
    <s v="LOW"/>
    <n v="0"/>
  </r>
  <r>
    <n v="10286"/>
    <s v="19-Jan-2025"/>
    <x v="120"/>
    <x v="3"/>
    <s v="Gujarat"/>
    <x v="1"/>
    <s v="Paper"/>
    <s v="Printer Paper"/>
    <n v="5"/>
    <n v="12252"/>
    <n v="2079.37"/>
    <x v="3"/>
    <x v="4"/>
    <x v="0"/>
    <n v="2025"/>
    <s v="Q1"/>
    <n v="0.16971678093372511"/>
    <s v="HIGH"/>
    <n v="0.2"/>
  </r>
  <r>
    <n v="10287"/>
    <s v="15-Aug-2025"/>
    <x v="25"/>
    <x v="2"/>
    <s v="West Bengal"/>
    <x v="1"/>
    <s v="Stationery"/>
    <s v="Notebook"/>
    <n v="8"/>
    <n v="16178.4"/>
    <n v="1423.55"/>
    <x v="1"/>
    <x v="2"/>
    <x v="5"/>
    <n v="2025"/>
    <s v="Q3"/>
    <n v="8.7990777827226418E-2"/>
    <s v="HIGH"/>
    <n v="0.1"/>
  </r>
  <r>
    <n v="10288"/>
    <s v="25-Dec-2025"/>
    <x v="56"/>
    <x v="2"/>
    <s v="West Bengal"/>
    <x v="1"/>
    <s v="Stationery"/>
    <s v="Pen"/>
    <n v="8"/>
    <n v="30544.400000000001"/>
    <n v="8434.44"/>
    <x v="4"/>
    <x v="1"/>
    <x v="9"/>
    <n v="2025"/>
    <s v="Q4"/>
    <n v="0.27613703330234018"/>
    <s v="HIGH"/>
    <n v="0.05"/>
  </r>
  <r>
    <n v="10289"/>
    <s v="27-Jun-2025"/>
    <x v="149"/>
    <x v="0"/>
    <s v="Maharashtra"/>
    <x v="1"/>
    <s v="Paper"/>
    <s v="Printer Paper"/>
    <n v="4"/>
    <n v="9743.2000000000007"/>
    <n v="2470.3000000000002"/>
    <x v="4"/>
    <x v="1"/>
    <x v="11"/>
    <n v="2025"/>
    <s v="Q2"/>
    <n v="0.25354093111092862"/>
    <s v="HIGH"/>
    <n v="0.05"/>
  </r>
  <r>
    <n v="10290"/>
    <s v="22-Aug-2025"/>
    <x v="150"/>
    <x v="5"/>
    <s v="Karnataka"/>
    <x v="2"/>
    <s v="Tables"/>
    <s v="Table"/>
    <n v="5"/>
    <n v="2023"/>
    <n v="432.8"/>
    <x v="0"/>
    <x v="3"/>
    <x v="5"/>
    <n v="2025"/>
    <s v="Q3"/>
    <n v="0.21393969352446862"/>
    <s v="MEDIUM"/>
    <n v="0.15"/>
  </r>
  <r>
    <n v="10291"/>
    <s v="09-Feb-2025"/>
    <x v="128"/>
    <x v="6"/>
    <s v="Maharashtra"/>
    <x v="1"/>
    <s v="Stationery"/>
    <s v="Notebook"/>
    <n v="3"/>
    <n v="6120"/>
    <n v="530.64"/>
    <x v="0"/>
    <x v="4"/>
    <x v="1"/>
    <n v="2025"/>
    <s v="Q1"/>
    <n v="8.6705882352941174E-2"/>
    <s v="HIGH"/>
    <n v="0.15"/>
  </r>
  <r>
    <n v="10292"/>
    <s v="09-Jun-2025"/>
    <x v="150"/>
    <x v="3"/>
    <s v="Gujarat"/>
    <x v="0"/>
    <s v="Computers"/>
    <s v="Laptop"/>
    <n v="5"/>
    <n v="17750"/>
    <n v="5088.68"/>
    <x v="2"/>
    <x v="0"/>
    <x v="11"/>
    <n v="2025"/>
    <s v="Q2"/>
    <n v="0.28668619718309862"/>
    <s v="HIGH"/>
    <n v="0"/>
  </r>
  <r>
    <n v="10293"/>
    <s v="28-Oct-2025"/>
    <x v="151"/>
    <x v="5"/>
    <s v="Karnataka"/>
    <x v="1"/>
    <s v="Paper"/>
    <s v="Printer Paper"/>
    <n v="5"/>
    <n v="10480"/>
    <n v="2445.64"/>
    <x v="2"/>
    <x v="4"/>
    <x v="7"/>
    <n v="2025"/>
    <s v="Q4"/>
    <n v="0.23336259541984733"/>
    <s v="HIGH"/>
    <n v="0"/>
  </r>
  <r>
    <n v="10294"/>
    <s v="22-Mar-2025"/>
    <x v="152"/>
    <x v="0"/>
    <s v="Maharashtra"/>
    <x v="2"/>
    <s v="Office"/>
    <s v="Desk"/>
    <n v="1"/>
    <n v="3236.8"/>
    <n v="539.17999999999995"/>
    <x v="0"/>
    <x v="1"/>
    <x v="8"/>
    <n v="2025"/>
    <s v="Q1"/>
    <n v="0.16657810182896685"/>
    <s v="MEDIUM"/>
    <n v="0.15"/>
  </r>
  <r>
    <n v="10295"/>
    <s v="14-Mar-2025"/>
    <x v="106"/>
    <x v="3"/>
    <s v="Gujarat"/>
    <x v="0"/>
    <s v="Computers"/>
    <s v="Laptop"/>
    <n v="5"/>
    <n v="14292"/>
    <n v="3873.69"/>
    <x v="1"/>
    <x v="3"/>
    <x v="8"/>
    <n v="2025"/>
    <s v="Q1"/>
    <n v="0.2710390428211587"/>
    <s v="HIGH"/>
    <n v="0.1"/>
  </r>
  <r>
    <n v="10296"/>
    <s v="12-Feb-2025"/>
    <x v="76"/>
    <x v="1"/>
    <s v="Tamil Nadu"/>
    <x v="0"/>
    <s v="Audio"/>
    <s v="Headphones"/>
    <n v="6"/>
    <n v="20553.599999999999"/>
    <n v="5747.24"/>
    <x v="3"/>
    <x v="4"/>
    <x v="1"/>
    <n v="2025"/>
    <s v="Q1"/>
    <n v="0.27962206134205203"/>
    <s v="HIGH"/>
    <n v="0.2"/>
  </r>
  <r>
    <n v="10297"/>
    <s v="14-Nov-2025"/>
    <x v="153"/>
    <x v="2"/>
    <s v="West Bengal"/>
    <x v="2"/>
    <s v="Office"/>
    <s v="Desk"/>
    <n v="4"/>
    <n v="10162.6"/>
    <n v="2865.74"/>
    <x v="0"/>
    <x v="1"/>
    <x v="10"/>
    <n v="2025"/>
    <s v="Q4"/>
    <n v="0.28198886111821775"/>
    <s v="HIGH"/>
    <n v="0.15"/>
  </r>
  <r>
    <n v="10298"/>
    <s v="21-Oct-2025"/>
    <x v="137"/>
    <x v="6"/>
    <s v="Maharashtra"/>
    <x v="0"/>
    <s v="Audio"/>
    <s v="Headphones"/>
    <n v="6"/>
    <n v="22230"/>
    <n v="4421.12"/>
    <x v="4"/>
    <x v="4"/>
    <x v="7"/>
    <n v="2025"/>
    <s v="Q4"/>
    <n v="0.19888079172289699"/>
    <s v="HIGH"/>
    <n v="0.05"/>
  </r>
  <r>
    <n v="10299"/>
    <s v="30-Aug-2025"/>
    <x v="154"/>
    <x v="1"/>
    <s v="Tamil Nadu"/>
    <x v="1"/>
    <s v="Paper"/>
    <s v="Printer Paper"/>
    <n v="6"/>
    <n v="5842.8"/>
    <n v="767.74"/>
    <x v="1"/>
    <x v="3"/>
    <x v="5"/>
    <n v="2025"/>
    <s v="Q3"/>
    <n v="0.13139932908879304"/>
    <s v="HIGH"/>
    <n v="0.1"/>
  </r>
  <r>
    <n v="10300"/>
    <s v="15-Apr-2025"/>
    <x v="155"/>
    <x v="6"/>
    <s v="Maharashtra"/>
    <x v="2"/>
    <s v="Living Room"/>
    <s v="Sofa"/>
    <n v="7"/>
    <n v="18403.349999999999"/>
    <n v="5274.87"/>
    <x v="0"/>
    <x v="1"/>
    <x v="4"/>
    <n v="2025"/>
    <s v="Q2"/>
    <n v="0.28662553285135589"/>
    <s v="HIGH"/>
    <n v="0.15"/>
  </r>
  <r>
    <n v="10301"/>
    <s v="02-Apr-2025"/>
    <x v="156"/>
    <x v="1"/>
    <s v="Tamil Nadu"/>
    <x v="0"/>
    <s v="Computers"/>
    <s v="Laptop"/>
    <n v="8"/>
    <n v="36640"/>
    <n v="9431.9699999999993"/>
    <x v="2"/>
    <x v="1"/>
    <x v="4"/>
    <n v="2025"/>
    <s v="Q2"/>
    <n v="0.2574227620087336"/>
    <s v="HIGH"/>
    <n v="0"/>
  </r>
  <r>
    <n v="10302"/>
    <s v="16-Nov-2025"/>
    <x v="95"/>
    <x v="6"/>
    <s v="Maharashtra"/>
    <x v="1"/>
    <s v="Stationery"/>
    <s v="Notebook"/>
    <n v="3"/>
    <n v="10700.1"/>
    <n v="1833.58"/>
    <x v="1"/>
    <x v="1"/>
    <x v="10"/>
    <n v="2025"/>
    <s v="Q4"/>
    <n v="0.17136101531761383"/>
    <s v="HIGH"/>
    <n v="0.1"/>
  </r>
  <r>
    <n v="10303"/>
    <s v="22-Apr-2025"/>
    <x v="7"/>
    <x v="0"/>
    <s v="Maharashtra"/>
    <x v="2"/>
    <s v="Chairs"/>
    <s v="Chair"/>
    <n v="7"/>
    <n v="19712"/>
    <n v="4622.37"/>
    <x v="3"/>
    <x v="2"/>
    <x v="4"/>
    <n v="2025"/>
    <s v="Q2"/>
    <n v="0.23449523133116881"/>
    <s v="HIGH"/>
    <n v="0.2"/>
  </r>
  <r>
    <n v="10304"/>
    <s v="10-Apr-2025"/>
    <x v="90"/>
    <x v="6"/>
    <s v="Maharashtra"/>
    <x v="2"/>
    <s v="Chairs"/>
    <s v="Chair"/>
    <n v="3"/>
    <n v="9412.2000000000007"/>
    <n v="2535.8000000000002"/>
    <x v="1"/>
    <x v="3"/>
    <x v="4"/>
    <n v="2025"/>
    <s v="Q2"/>
    <n v="0.26941628949661078"/>
    <s v="HIGH"/>
    <n v="0.1"/>
  </r>
  <r>
    <n v="10305"/>
    <s v="25-Sep-2025"/>
    <x v="102"/>
    <x v="7"/>
    <s v="Delhi"/>
    <x v="0"/>
    <s v="Computers"/>
    <s v="Laptop"/>
    <n v="6"/>
    <n v="13926.6"/>
    <n v="1883.85"/>
    <x v="1"/>
    <x v="3"/>
    <x v="3"/>
    <n v="2025"/>
    <s v="Q3"/>
    <n v="0.13526991512644865"/>
    <s v="HIGH"/>
    <n v="0.1"/>
  </r>
  <r>
    <n v="10306"/>
    <s v="18-Mar-2025"/>
    <x v="77"/>
    <x v="0"/>
    <s v="Maharashtra"/>
    <x v="1"/>
    <s v="Stationery"/>
    <s v="Marker"/>
    <n v="6"/>
    <n v="17312.400000000001"/>
    <n v="3199.96"/>
    <x v="1"/>
    <x v="2"/>
    <x v="8"/>
    <n v="2025"/>
    <s v="Q1"/>
    <n v="0.18483630230355119"/>
    <s v="HIGH"/>
    <n v="0.1"/>
  </r>
  <r>
    <n v="10307"/>
    <s v="18-Jan-2025"/>
    <x v="32"/>
    <x v="0"/>
    <s v="Maharashtra"/>
    <x v="1"/>
    <s v="Stationery"/>
    <s v="Notebook"/>
    <n v="6"/>
    <n v="20616"/>
    <n v="5517.31"/>
    <x v="3"/>
    <x v="2"/>
    <x v="0"/>
    <n v="2025"/>
    <s v="Q1"/>
    <n v="0.26762272021730699"/>
    <s v="HIGH"/>
    <n v="0.2"/>
  </r>
  <r>
    <n v="10308"/>
    <s v="08-Dec-2025"/>
    <x v="71"/>
    <x v="7"/>
    <s v="Delhi"/>
    <x v="2"/>
    <s v="Tables"/>
    <s v="Table"/>
    <n v="7"/>
    <n v="4129.3"/>
    <n v="911.56"/>
    <x v="0"/>
    <x v="0"/>
    <x v="9"/>
    <n v="2025"/>
    <s v="Q4"/>
    <n v="0.22075412297483832"/>
    <s v="MEDIUM"/>
    <n v="0.15"/>
  </r>
  <r>
    <n v="10309"/>
    <s v="05-Dec-2025"/>
    <x v="157"/>
    <x v="4"/>
    <s v="Telangana"/>
    <x v="1"/>
    <s v="Stationery"/>
    <s v="Pen"/>
    <n v="1"/>
    <n v="1005"/>
    <n v="210.53"/>
    <x v="2"/>
    <x v="1"/>
    <x v="9"/>
    <n v="2025"/>
    <s v="Q4"/>
    <n v="0.20948258706467662"/>
    <s v="MEDIUM"/>
    <n v="0"/>
  </r>
  <r>
    <n v="10310"/>
    <s v="29-Sep-2025"/>
    <x v="102"/>
    <x v="4"/>
    <s v="Telangana"/>
    <x v="1"/>
    <s v="Stationery"/>
    <s v="Notebook"/>
    <n v="5"/>
    <n v="2052"/>
    <n v="450.91"/>
    <x v="4"/>
    <x v="0"/>
    <x v="3"/>
    <n v="2025"/>
    <s v="Q3"/>
    <n v="0.21974171539961015"/>
    <s v="MEDIUM"/>
    <n v="0.05"/>
  </r>
  <r>
    <n v="10311"/>
    <s v="30-Jan-2025"/>
    <x v="28"/>
    <x v="4"/>
    <s v="Telangana"/>
    <x v="2"/>
    <s v="Office"/>
    <s v="Desk"/>
    <n v="7"/>
    <n v="27701.1"/>
    <n v="5187.68"/>
    <x v="1"/>
    <x v="4"/>
    <x v="0"/>
    <n v="2025"/>
    <s v="Q1"/>
    <n v="0.18727342957499885"/>
    <s v="HIGH"/>
    <n v="0.1"/>
  </r>
  <r>
    <n v="10312"/>
    <s v="27-Nov-2025"/>
    <x v="30"/>
    <x v="3"/>
    <s v="Gujarat"/>
    <x v="2"/>
    <s v="Chairs"/>
    <s v="Chair"/>
    <n v="6"/>
    <n v="28398"/>
    <n v="7508.45"/>
    <x v="2"/>
    <x v="2"/>
    <x v="10"/>
    <n v="2025"/>
    <s v="Q4"/>
    <n v="0.26440066201845197"/>
    <s v="HIGH"/>
    <n v="0"/>
  </r>
  <r>
    <n v="10313"/>
    <s v="21-Apr-2025"/>
    <x v="15"/>
    <x v="3"/>
    <s v="Gujarat"/>
    <x v="2"/>
    <s v="Office"/>
    <s v="Desk"/>
    <n v="8"/>
    <n v="14579.2"/>
    <n v="3185.21"/>
    <x v="3"/>
    <x v="3"/>
    <x v="4"/>
    <n v="2025"/>
    <s v="Q2"/>
    <n v="0.21847632243195786"/>
    <s v="HIGH"/>
    <n v="0.2"/>
  </r>
  <r>
    <n v="10314"/>
    <s v="04-Mar-2025"/>
    <x v="102"/>
    <x v="1"/>
    <s v="Tamil Nadu"/>
    <x v="0"/>
    <s v="Computers"/>
    <s v="Laptop"/>
    <n v="7"/>
    <n v="30476.95"/>
    <n v="9039.44"/>
    <x v="4"/>
    <x v="2"/>
    <x v="8"/>
    <n v="2025"/>
    <s v="Q1"/>
    <n v="0.2965992331909853"/>
    <s v="HIGH"/>
    <n v="0.05"/>
  </r>
  <r>
    <n v="10315"/>
    <s v="26-Jun-2025"/>
    <x v="106"/>
    <x v="2"/>
    <s v="West Bengal"/>
    <x v="2"/>
    <s v="Office"/>
    <s v="Desk"/>
    <n v="6"/>
    <n v="28854"/>
    <n v="2441.16"/>
    <x v="2"/>
    <x v="2"/>
    <x v="11"/>
    <n v="2025"/>
    <s v="Q2"/>
    <n v="8.4603867747972544E-2"/>
    <s v="HIGH"/>
    <n v="0"/>
  </r>
  <r>
    <n v="10316"/>
    <s v="17-May-2025"/>
    <x v="41"/>
    <x v="1"/>
    <s v="Tamil Nadu"/>
    <x v="0"/>
    <s v="Audio"/>
    <s v="Headphones"/>
    <n v="8"/>
    <n v="28121.599999999999"/>
    <n v="4665.6400000000003"/>
    <x v="3"/>
    <x v="1"/>
    <x v="6"/>
    <n v="2025"/>
    <s v="Q2"/>
    <n v="0.16590947883477472"/>
    <s v="HIGH"/>
    <n v="0.2"/>
  </r>
  <r>
    <n v="10317"/>
    <s v="13-Sep-2025"/>
    <x v="120"/>
    <x v="6"/>
    <s v="Maharashtra"/>
    <x v="0"/>
    <s v="Audio"/>
    <s v="Headphones"/>
    <n v="4"/>
    <n v="13892.4"/>
    <n v="1623.49"/>
    <x v="1"/>
    <x v="4"/>
    <x v="3"/>
    <n v="2025"/>
    <s v="Q3"/>
    <n v="0.11686173735279722"/>
    <s v="HIGH"/>
    <n v="0.1"/>
  </r>
  <r>
    <n v="10318"/>
    <s v="04-Jan-2025"/>
    <x v="133"/>
    <x v="0"/>
    <s v="Maharashtra"/>
    <x v="1"/>
    <s v="Stationery"/>
    <s v="Notebook"/>
    <n v="8"/>
    <n v="22860"/>
    <n v="4396.84"/>
    <x v="1"/>
    <x v="4"/>
    <x v="0"/>
    <n v="2025"/>
    <s v="Q1"/>
    <n v="0.1923377077865267"/>
    <s v="HIGH"/>
    <n v="0.1"/>
  </r>
  <r>
    <n v="10319"/>
    <s v="03-Nov-2025"/>
    <x v="129"/>
    <x v="2"/>
    <s v="West Bengal"/>
    <x v="2"/>
    <s v="Office"/>
    <s v="Desk"/>
    <n v="3"/>
    <n v="11987.1"/>
    <n v="2452.36"/>
    <x v="4"/>
    <x v="0"/>
    <x v="10"/>
    <n v="2025"/>
    <s v="Q4"/>
    <n v="0.2045832603381969"/>
    <s v="HIGH"/>
    <n v="0.05"/>
  </r>
  <r>
    <n v="10320"/>
    <s v="14-Oct-2025"/>
    <x v="74"/>
    <x v="7"/>
    <s v="Delhi"/>
    <x v="1"/>
    <s v="Stationery"/>
    <s v="Notebook"/>
    <n v="7"/>
    <n v="17255"/>
    <n v="3350.97"/>
    <x v="2"/>
    <x v="2"/>
    <x v="7"/>
    <n v="2025"/>
    <s v="Q4"/>
    <n v="0.19420283975659228"/>
    <s v="HIGH"/>
    <n v="0"/>
  </r>
  <r>
    <n v="10321"/>
    <s v="14-May-2025"/>
    <x v="158"/>
    <x v="3"/>
    <s v="Gujarat"/>
    <x v="2"/>
    <s v="Tables"/>
    <s v="Table"/>
    <n v="1"/>
    <n v="1323.2"/>
    <n v="392.95"/>
    <x v="3"/>
    <x v="3"/>
    <x v="6"/>
    <n v="2025"/>
    <s v="Q2"/>
    <n v="0.29696946795646917"/>
    <s v="MEDIUM"/>
    <n v="0.2"/>
  </r>
  <r>
    <n v="10322"/>
    <s v="21-Apr-2025"/>
    <x v="42"/>
    <x v="1"/>
    <s v="Tamil Nadu"/>
    <x v="2"/>
    <s v="Office"/>
    <s v="Desk"/>
    <n v="7"/>
    <n v="20475"/>
    <n v="4658.3599999999997"/>
    <x v="2"/>
    <x v="2"/>
    <x v="4"/>
    <n v="2025"/>
    <s v="Q2"/>
    <n v="0.22751452991452989"/>
    <s v="HIGH"/>
    <n v="0"/>
  </r>
  <r>
    <n v="10323"/>
    <s v="13-Sep-2025"/>
    <x v="127"/>
    <x v="6"/>
    <s v="Maharashtra"/>
    <x v="0"/>
    <s v="Computers"/>
    <s v="Laptop"/>
    <n v="4"/>
    <n v="11540.6"/>
    <n v="2044.46"/>
    <x v="4"/>
    <x v="0"/>
    <x v="3"/>
    <n v="2025"/>
    <s v="Q3"/>
    <n v="0.17715370084744295"/>
    <s v="HIGH"/>
    <n v="0.05"/>
  </r>
  <r>
    <n v="10324"/>
    <s v="24-Mar-2025"/>
    <x v="96"/>
    <x v="5"/>
    <s v="Karnataka"/>
    <x v="0"/>
    <s v="Accessories"/>
    <s v="Mouse"/>
    <n v="8"/>
    <n v="36120"/>
    <n v="7060.57"/>
    <x v="2"/>
    <x v="4"/>
    <x v="8"/>
    <n v="2025"/>
    <s v="Q1"/>
    <n v="0.19547535991140641"/>
    <s v="HIGH"/>
    <n v="0"/>
  </r>
  <r>
    <n v="10325"/>
    <s v="29-Jun-2025"/>
    <x v="150"/>
    <x v="5"/>
    <s v="Karnataka"/>
    <x v="2"/>
    <s v="Office"/>
    <s v="Desk"/>
    <n v="5"/>
    <n v="24040"/>
    <n v="4753.8"/>
    <x v="2"/>
    <x v="2"/>
    <x v="11"/>
    <n v="2025"/>
    <s v="Q2"/>
    <n v="0.19774542429284528"/>
    <s v="HIGH"/>
    <n v="0"/>
  </r>
  <r>
    <n v="10326"/>
    <s v="30-Jun-2025"/>
    <x v="159"/>
    <x v="1"/>
    <s v="Tamil Nadu"/>
    <x v="2"/>
    <s v="Living Room"/>
    <s v="Sofa"/>
    <n v="2"/>
    <n v="2964.8"/>
    <n v="505.77"/>
    <x v="0"/>
    <x v="3"/>
    <x v="11"/>
    <n v="2025"/>
    <s v="Q2"/>
    <n v="0.17059160820291416"/>
    <s v="MEDIUM"/>
    <n v="0.15"/>
  </r>
  <r>
    <n v="10327"/>
    <s v="25-May-2025"/>
    <x v="39"/>
    <x v="2"/>
    <s v="West Bengal"/>
    <x v="0"/>
    <s v="Audio"/>
    <s v="Headphones"/>
    <n v="5"/>
    <n v="520"/>
    <n v="79.650000000000006"/>
    <x v="2"/>
    <x v="3"/>
    <x v="6"/>
    <n v="2025"/>
    <s v="Q2"/>
    <n v="0.15317307692307694"/>
    <s v="LOW"/>
    <n v="0"/>
  </r>
  <r>
    <n v="10328"/>
    <s v="08-Oct-2025"/>
    <x v="160"/>
    <x v="0"/>
    <s v="Maharashtra"/>
    <x v="1"/>
    <s v="Stationery"/>
    <s v="Notebook"/>
    <n v="1"/>
    <n v="1329.4"/>
    <n v="186.57"/>
    <x v="0"/>
    <x v="4"/>
    <x v="7"/>
    <n v="2025"/>
    <s v="Q4"/>
    <n v="0.14034150744696855"/>
    <s v="MEDIUM"/>
    <n v="0.15"/>
  </r>
  <r>
    <n v="10329"/>
    <s v="30-Sep-2025"/>
    <x v="16"/>
    <x v="2"/>
    <s v="West Bengal"/>
    <x v="2"/>
    <s v="Office"/>
    <s v="Desk"/>
    <n v="5"/>
    <n v="11490"/>
    <n v="2876.71"/>
    <x v="2"/>
    <x v="0"/>
    <x v="3"/>
    <n v="2025"/>
    <s v="Q3"/>
    <n v="0.2503664055700609"/>
    <s v="HIGH"/>
    <n v="0"/>
  </r>
  <r>
    <n v="10330"/>
    <s v="15-Jan-2025"/>
    <x v="155"/>
    <x v="3"/>
    <s v="Gujarat"/>
    <x v="1"/>
    <s v="Stationery"/>
    <s v="Pen"/>
    <n v="8"/>
    <n v="10670.4"/>
    <n v="2522.98"/>
    <x v="4"/>
    <x v="3"/>
    <x v="0"/>
    <n v="2025"/>
    <s v="Q1"/>
    <n v="0.23644661868346079"/>
    <s v="HIGH"/>
    <n v="0.05"/>
  </r>
  <r>
    <n v="10331"/>
    <s v="10-Nov-2025"/>
    <x v="31"/>
    <x v="5"/>
    <s v="Karnataka"/>
    <x v="1"/>
    <s v="Stationery"/>
    <s v="Pen"/>
    <n v="5"/>
    <n v="19403.75"/>
    <n v="3401.8"/>
    <x v="4"/>
    <x v="0"/>
    <x v="10"/>
    <n v="2025"/>
    <s v="Q4"/>
    <n v="0.17531662694066869"/>
    <s v="HIGH"/>
    <n v="0.05"/>
  </r>
  <r>
    <n v="10332"/>
    <s v="12-Feb-2025"/>
    <x v="13"/>
    <x v="3"/>
    <s v="Gujarat"/>
    <x v="0"/>
    <s v="Computers"/>
    <s v="Laptop"/>
    <n v="8"/>
    <n v="26574.400000000001"/>
    <n v="2429.9299999999998"/>
    <x v="0"/>
    <x v="4"/>
    <x v="1"/>
    <n v="2025"/>
    <s v="Q1"/>
    <n v="9.1438753085676436E-2"/>
    <s v="HIGH"/>
    <n v="0.15"/>
  </r>
  <r>
    <n v="10333"/>
    <s v="23-Nov-2025"/>
    <x v="76"/>
    <x v="0"/>
    <s v="Maharashtra"/>
    <x v="0"/>
    <s v="Accessories"/>
    <s v="Keyboard"/>
    <n v="2"/>
    <n v="8236.5"/>
    <n v="1441.97"/>
    <x v="0"/>
    <x v="4"/>
    <x v="10"/>
    <n v="2025"/>
    <s v="Q4"/>
    <n v="0.17507072178716687"/>
    <s v="HIGH"/>
    <n v="0.15"/>
  </r>
  <r>
    <n v="10334"/>
    <s v="26-Nov-2025"/>
    <x v="161"/>
    <x v="2"/>
    <s v="West Bengal"/>
    <x v="2"/>
    <s v="Tables"/>
    <s v="Table"/>
    <n v="2"/>
    <n v="2308"/>
    <n v="230.37"/>
    <x v="2"/>
    <x v="1"/>
    <x v="10"/>
    <n v="2025"/>
    <s v="Q4"/>
    <n v="9.9813691507798966E-2"/>
    <s v="MEDIUM"/>
    <n v="0"/>
  </r>
  <r>
    <n v="10335"/>
    <s v="24-Mar-2025"/>
    <x v="1"/>
    <x v="3"/>
    <s v="Gujarat"/>
    <x v="1"/>
    <s v="Stationery"/>
    <s v="Marker"/>
    <n v="8"/>
    <n v="3225.6"/>
    <n v="385.42"/>
    <x v="1"/>
    <x v="3"/>
    <x v="8"/>
    <n v="2025"/>
    <s v="Q1"/>
    <n v="0.11948784722222223"/>
    <s v="MEDIUM"/>
    <n v="0.1"/>
  </r>
  <r>
    <n v="10336"/>
    <s v="06-Mar-2025"/>
    <x v="108"/>
    <x v="5"/>
    <s v="Karnataka"/>
    <x v="2"/>
    <s v="Living Room"/>
    <s v="Sofa"/>
    <n v="6"/>
    <n v="5712"/>
    <n v="1157.17"/>
    <x v="3"/>
    <x v="3"/>
    <x v="8"/>
    <n v="2025"/>
    <s v="Q1"/>
    <n v="0.20258578431372551"/>
    <s v="HIGH"/>
    <n v="0.2"/>
  </r>
  <r>
    <n v="10337"/>
    <s v="27-Oct-2025"/>
    <x v="148"/>
    <x v="5"/>
    <s v="Karnataka"/>
    <x v="0"/>
    <s v="Computers"/>
    <s v="Laptop"/>
    <n v="4"/>
    <n v="13648"/>
    <n v="3959.89"/>
    <x v="2"/>
    <x v="3"/>
    <x v="7"/>
    <n v="2025"/>
    <s v="Q4"/>
    <n v="0.29014434349355217"/>
    <s v="HIGH"/>
    <n v="0"/>
  </r>
  <r>
    <n v="10338"/>
    <s v="11-Feb-2025"/>
    <x v="43"/>
    <x v="0"/>
    <s v="Maharashtra"/>
    <x v="2"/>
    <s v="Living Room"/>
    <s v="Sofa"/>
    <n v="8"/>
    <n v="7392"/>
    <n v="1649.15"/>
    <x v="3"/>
    <x v="3"/>
    <x v="1"/>
    <n v="2025"/>
    <s v="Q1"/>
    <n v="0.22309929653679655"/>
    <s v="HIGH"/>
    <n v="0.2"/>
  </r>
  <r>
    <n v="10339"/>
    <s v="17-Nov-2025"/>
    <x v="75"/>
    <x v="4"/>
    <s v="Telangana"/>
    <x v="1"/>
    <s v="Stationery"/>
    <s v="Pen"/>
    <n v="8"/>
    <n v="1271.5999999999999"/>
    <n v="374.98"/>
    <x v="0"/>
    <x v="2"/>
    <x v="10"/>
    <n v="2025"/>
    <s v="Q4"/>
    <n v="0.29488832966341622"/>
    <s v="MEDIUM"/>
    <n v="0.15"/>
  </r>
  <r>
    <n v="10340"/>
    <s v="06-Apr-2025"/>
    <x v="74"/>
    <x v="2"/>
    <s v="West Bengal"/>
    <x v="2"/>
    <s v="Office"/>
    <s v="Desk"/>
    <n v="8"/>
    <n v="15904"/>
    <n v="3822.44"/>
    <x v="3"/>
    <x v="0"/>
    <x v="4"/>
    <n v="2025"/>
    <s v="Q2"/>
    <n v="0.24034456740442656"/>
    <s v="HIGH"/>
    <n v="0.2"/>
  </r>
  <r>
    <n v="10341"/>
    <s v="19-Jul-2025"/>
    <x v="71"/>
    <x v="6"/>
    <s v="Maharashtra"/>
    <x v="1"/>
    <s v="Stationery"/>
    <s v="Pen"/>
    <n v="1"/>
    <n v="2114.8000000000002"/>
    <n v="350.91"/>
    <x v="0"/>
    <x v="0"/>
    <x v="2"/>
    <n v="2025"/>
    <s v="Q3"/>
    <n v="0.16593058445243047"/>
    <s v="MEDIUM"/>
    <n v="0.15"/>
  </r>
  <r>
    <n v="10342"/>
    <s v="24-Feb-2025"/>
    <x v="106"/>
    <x v="1"/>
    <s v="Tamil Nadu"/>
    <x v="0"/>
    <s v="Accessories"/>
    <s v="Mouse"/>
    <n v="8"/>
    <n v="22784.799999999999"/>
    <n v="6697.35"/>
    <x v="4"/>
    <x v="2"/>
    <x v="1"/>
    <n v="2025"/>
    <s v="Q1"/>
    <n v="0.29393938063972475"/>
    <s v="HIGH"/>
    <n v="0.05"/>
  </r>
  <r>
    <n v="10343"/>
    <s v="29-Sep-2025"/>
    <x v="44"/>
    <x v="5"/>
    <s v="Karnataka"/>
    <x v="0"/>
    <s v="Accessories"/>
    <s v="Keyboard"/>
    <n v="3"/>
    <n v="1185"/>
    <n v="107.55"/>
    <x v="2"/>
    <x v="1"/>
    <x v="3"/>
    <n v="2025"/>
    <s v="Q3"/>
    <n v="9.0759493670886079E-2"/>
    <s v="MEDIUM"/>
    <n v="0"/>
  </r>
  <r>
    <n v="10344"/>
    <s v="25-May-2025"/>
    <x v="93"/>
    <x v="6"/>
    <s v="Maharashtra"/>
    <x v="1"/>
    <s v="Stationery"/>
    <s v="Marker"/>
    <n v="4"/>
    <n v="4903.2"/>
    <n v="851.54"/>
    <x v="1"/>
    <x v="4"/>
    <x v="6"/>
    <n v="2025"/>
    <s v="Q2"/>
    <n v="0.17367025615924295"/>
    <s v="MEDIUM"/>
    <n v="0.1"/>
  </r>
  <r>
    <n v="10345"/>
    <s v="12-Mar-2025"/>
    <x v="80"/>
    <x v="6"/>
    <s v="Maharashtra"/>
    <x v="0"/>
    <s v="Audio"/>
    <s v="Headphones"/>
    <n v="6"/>
    <n v="7852.8"/>
    <n v="1825.13"/>
    <x v="3"/>
    <x v="4"/>
    <x v="8"/>
    <n v="2025"/>
    <s v="Q1"/>
    <n v="0.23241773634881827"/>
    <s v="HIGH"/>
    <n v="0.2"/>
  </r>
  <r>
    <n v="10346"/>
    <s v="04-Jan-2025"/>
    <x v="99"/>
    <x v="3"/>
    <s v="Gujarat"/>
    <x v="1"/>
    <s v="Stationery"/>
    <s v="Notebook"/>
    <n v="3"/>
    <n v="4588.5"/>
    <n v="932.33"/>
    <x v="4"/>
    <x v="4"/>
    <x v="0"/>
    <n v="2025"/>
    <s v="Q1"/>
    <n v="0.20318840579710146"/>
    <s v="MEDIUM"/>
    <n v="0.05"/>
  </r>
  <r>
    <n v="10347"/>
    <s v="28-Oct-2025"/>
    <x v="39"/>
    <x v="0"/>
    <s v="Maharashtra"/>
    <x v="1"/>
    <s v="Stationery"/>
    <s v="Marker"/>
    <n v="1"/>
    <n v="4188"/>
    <n v="622.85"/>
    <x v="2"/>
    <x v="2"/>
    <x v="7"/>
    <n v="2025"/>
    <s v="Q4"/>
    <n v="0.14872254059216811"/>
    <s v="MEDIUM"/>
    <n v="0"/>
  </r>
  <r>
    <n v="10348"/>
    <s v="27-Aug-2025"/>
    <x v="162"/>
    <x v="7"/>
    <s v="Delhi"/>
    <x v="1"/>
    <s v="Stationery"/>
    <s v="Pen"/>
    <n v="1"/>
    <n v="2209.5"/>
    <n v="382.53"/>
    <x v="1"/>
    <x v="1"/>
    <x v="5"/>
    <n v="2025"/>
    <s v="Q3"/>
    <n v="0.17312966734555327"/>
    <s v="MEDIUM"/>
    <n v="0.1"/>
  </r>
  <r>
    <n v="10349"/>
    <s v="24-Apr-2025"/>
    <x v="6"/>
    <x v="2"/>
    <s v="West Bengal"/>
    <x v="2"/>
    <s v="Living Room"/>
    <s v="Sofa"/>
    <n v="4"/>
    <n v="4064"/>
    <n v="440.41"/>
    <x v="3"/>
    <x v="3"/>
    <x v="4"/>
    <n v="2025"/>
    <s v="Q2"/>
    <n v="0.10836860236220473"/>
    <s v="MEDIUM"/>
    <n v="0.2"/>
  </r>
  <r>
    <n v="10350"/>
    <s v="13-Sep-2025"/>
    <x v="82"/>
    <x v="0"/>
    <s v="Maharashtra"/>
    <x v="1"/>
    <s v="Stationery"/>
    <s v="Marker"/>
    <n v="2"/>
    <n v="1312"/>
    <n v="184.71"/>
    <x v="3"/>
    <x v="4"/>
    <x v="3"/>
    <n v="2025"/>
    <s v="Q3"/>
    <n v="0.14078506097560975"/>
    <s v="MEDIUM"/>
    <n v="0.2"/>
  </r>
  <r>
    <n v="10351"/>
    <s v="04-Dec-2025"/>
    <x v="163"/>
    <x v="7"/>
    <s v="Delhi"/>
    <x v="0"/>
    <s v="Audio"/>
    <s v="Headphones"/>
    <n v="4"/>
    <n v="5933"/>
    <n v="1665.34"/>
    <x v="0"/>
    <x v="3"/>
    <x v="9"/>
    <n v="2025"/>
    <s v="Q4"/>
    <n v="0.28069105005899209"/>
    <s v="HIGH"/>
    <n v="0.15"/>
  </r>
  <r>
    <n v="10352"/>
    <s v="27-Jan-2025"/>
    <x v="164"/>
    <x v="3"/>
    <s v="Gujarat"/>
    <x v="0"/>
    <s v="Audio"/>
    <s v="Headphones"/>
    <n v="3"/>
    <n v="12291"/>
    <n v="2049.88"/>
    <x v="2"/>
    <x v="4"/>
    <x v="0"/>
    <n v="2025"/>
    <s v="Q1"/>
    <n v="0.16677894394272233"/>
    <s v="HIGH"/>
    <n v="0"/>
  </r>
  <r>
    <n v="10353"/>
    <s v="11-Sep-2025"/>
    <x v="87"/>
    <x v="3"/>
    <s v="Gujarat"/>
    <x v="2"/>
    <s v="Office"/>
    <s v="Desk"/>
    <n v="4"/>
    <n v="3427.2"/>
    <n v="891.59"/>
    <x v="3"/>
    <x v="2"/>
    <x v="3"/>
    <n v="2025"/>
    <s v="Q3"/>
    <n v="0.26015114379084969"/>
    <s v="MEDIUM"/>
    <n v="0.2"/>
  </r>
  <r>
    <n v="10354"/>
    <s v="31-Mar-2025"/>
    <x v="66"/>
    <x v="5"/>
    <s v="Karnataka"/>
    <x v="2"/>
    <s v="Living Room"/>
    <s v="Sofa"/>
    <n v="1"/>
    <n v="107.35"/>
    <n v="25.66"/>
    <x v="4"/>
    <x v="0"/>
    <x v="8"/>
    <n v="2025"/>
    <s v="Q1"/>
    <n v="0.23903120633442013"/>
    <s v="LOW"/>
    <n v="0.05"/>
  </r>
  <r>
    <n v="10355"/>
    <s v="25-Jul-2025"/>
    <x v="135"/>
    <x v="3"/>
    <s v="Gujarat"/>
    <x v="0"/>
    <s v="Audio"/>
    <s v="Headphones"/>
    <n v="7"/>
    <n v="5698"/>
    <n v="683.77"/>
    <x v="2"/>
    <x v="0"/>
    <x v="2"/>
    <n v="2025"/>
    <s v="Q3"/>
    <n v="0.120001755001755"/>
    <s v="HIGH"/>
    <n v="0"/>
  </r>
  <r>
    <n v="10356"/>
    <s v="10-Nov-2025"/>
    <x v="79"/>
    <x v="7"/>
    <s v="Delhi"/>
    <x v="2"/>
    <s v="Chairs"/>
    <s v="Chair"/>
    <n v="5"/>
    <n v="21313.25"/>
    <n v="5892.39"/>
    <x v="4"/>
    <x v="3"/>
    <x v="10"/>
    <n v="2025"/>
    <s v="Q4"/>
    <n v="0.27646604811560888"/>
    <s v="HIGH"/>
    <n v="0.05"/>
  </r>
  <r>
    <n v="10357"/>
    <s v="05-Aug-2025"/>
    <x v="30"/>
    <x v="2"/>
    <s v="West Bengal"/>
    <x v="2"/>
    <s v="Office"/>
    <s v="Desk"/>
    <n v="8"/>
    <n v="14096"/>
    <n v="3634.58"/>
    <x v="2"/>
    <x v="3"/>
    <x v="5"/>
    <n v="2025"/>
    <s v="Q3"/>
    <n v="0.25784477866061295"/>
    <s v="HIGH"/>
    <n v="0"/>
  </r>
  <r>
    <n v="10358"/>
    <s v="26-Jan-2025"/>
    <x v="49"/>
    <x v="7"/>
    <s v="Delhi"/>
    <x v="0"/>
    <s v="Accessories"/>
    <s v="Mouse"/>
    <n v="8"/>
    <n v="10244.799999999999"/>
    <n v="2102.2600000000002"/>
    <x v="4"/>
    <x v="1"/>
    <x v="0"/>
    <n v="2025"/>
    <s v="Q1"/>
    <n v="0.20520263938778702"/>
    <s v="HIGH"/>
    <n v="0.05"/>
  </r>
  <r>
    <n v="10359"/>
    <s v="10-Jul-2025"/>
    <x v="130"/>
    <x v="7"/>
    <s v="Delhi"/>
    <x v="0"/>
    <s v="Accessories"/>
    <s v="Mouse"/>
    <n v="3"/>
    <n v="12579.3"/>
    <n v="2779.1"/>
    <x v="1"/>
    <x v="3"/>
    <x v="2"/>
    <n v="2025"/>
    <s v="Q3"/>
    <n v="0.22092644264784209"/>
    <s v="HIGH"/>
    <n v="0.1"/>
  </r>
  <r>
    <n v="10360"/>
    <s v="13-Jan-2025"/>
    <x v="19"/>
    <x v="3"/>
    <s v="Gujarat"/>
    <x v="2"/>
    <s v="Office"/>
    <s v="Desk"/>
    <n v="8"/>
    <n v="23670.799999999999"/>
    <n v="3323.61"/>
    <x v="0"/>
    <x v="1"/>
    <x v="0"/>
    <n v="2025"/>
    <s v="Q1"/>
    <n v="0.14040970309410752"/>
    <s v="HIGH"/>
    <n v="0.15"/>
  </r>
  <r>
    <n v="10361"/>
    <s v="25-Jan-2025"/>
    <x v="105"/>
    <x v="3"/>
    <s v="Gujarat"/>
    <x v="2"/>
    <s v="Office"/>
    <s v="Desk"/>
    <n v="1"/>
    <n v="3706.4"/>
    <n v="784.38"/>
    <x v="3"/>
    <x v="3"/>
    <x v="0"/>
    <n v="2025"/>
    <s v="Q1"/>
    <n v="0.21162853442693719"/>
    <s v="MEDIUM"/>
    <n v="0.2"/>
  </r>
  <r>
    <n v="10362"/>
    <s v="04-Aug-2025"/>
    <x v="79"/>
    <x v="5"/>
    <s v="Karnataka"/>
    <x v="1"/>
    <s v="Stationery"/>
    <s v="Pen"/>
    <n v="8"/>
    <n v="22784"/>
    <n v="3423.25"/>
    <x v="3"/>
    <x v="0"/>
    <x v="5"/>
    <n v="2025"/>
    <s v="Q3"/>
    <n v="0.15024798103932585"/>
    <s v="HIGH"/>
    <n v="0.2"/>
  </r>
  <r>
    <n v="10363"/>
    <s v="28-Jan-2025"/>
    <x v="119"/>
    <x v="1"/>
    <s v="Tamil Nadu"/>
    <x v="1"/>
    <s v="Stationery"/>
    <s v="Pen"/>
    <n v="8"/>
    <n v="24269.200000000001"/>
    <n v="4727.95"/>
    <x v="0"/>
    <x v="4"/>
    <x v="0"/>
    <n v="2025"/>
    <s v="Q1"/>
    <n v="0.19481276679907042"/>
    <s v="HIGH"/>
    <n v="0.15"/>
  </r>
  <r>
    <n v="10364"/>
    <s v="06-Oct-2025"/>
    <x v="40"/>
    <x v="3"/>
    <s v="Gujarat"/>
    <x v="0"/>
    <s v="Accessories"/>
    <s v="Keyboard"/>
    <n v="2"/>
    <n v="5655.9"/>
    <n v="469.35"/>
    <x v="0"/>
    <x v="2"/>
    <x v="7"/>
    <n v="2025"/>
    <s v="Q4"/>
    <n v="8.2984140455099997E-2"/>
    <s v="HIGH"/>
    <n v="0.15"/>
  </r>
  <r>
    <n v="10365"/>
    <s v="14-Jul-2025"/>
    <x v="85"/>
    <x v="5"/>
    <s v="Karnataka"/>
    <x v="1"/>
    <s v="Stationery"/>
    <s v="Marker"/>
    <n v="7"/>
    <n v="20594.7"/>
    <n v="2685.99"/>
    <x v="1"/>
    <x v="1"/>
    <x v="2"/>
    <n v="2025"/>
    <s v="Q3"/>
    <n v="0.13042141910297309"/>
    <s v="HIGH"/>
    <n v="0.1"/>
  </r>
  <r>
    <n v="10366"/>
    <s v="13-Jan-2025"/>
    <x v="36"/>
    <x v="0"/>
    <s v="Maharashtra"/>
    <x v="0"/>
    <s v="Computers"/>
    <s v="Laptop"/>
    <n v="2"/>
    <n v="1491.5"/>
    <n v="261.08999999999997"/>
    <x v="4"/>
    <x v="2"/>
    <x v="0"/>
    <n v="2025"/>
    <s v="Q1"/>
    <n v="0.1750519611129735"/>
    <s v="MEDIUM"/>
    <n v="0.05"/>
  </r>
  <r>
    <n v="10367"/>
    <s v="05-May-2025"/>
    <x v="122"/>
    <x v="3"/>
    <s v="Gujarat"/>
    <x v="2"/>
    <s v="Living Room"/>
    <s v="Sofa"/>
    <n v="1"/>
    <n v="572.79999999999995"/>
    <n v="90.22"/>
    <x v="3"/>
    <x v="2"/>
    <x v="6"/>
    <n v="2025"/>
    <s v="Q2"/>
    <n v="0.15750698324022347"/>
    <s v="LOW"/>
    <n v="0.2"/>
  </r>
  <r>
    <n v="10368"/>
    <s v="29-May-2025"/>
    <x v="75"/>
    <x v="6"/>
    <s v="Maharashtra"/>
    <x v="1"/>
    <s v="Stationery"/>
    <s v="Pen"/>
    <n v="6"/>
    <n v="10913.4"/>
    <n v="3180.67"/>
    <x v="1"/>
    <x v="4"/>
    <x v="6"/>
    <n v="2025"/>
    <s v="Q2"/>
    <n v="0.29144629537999156"/>
    <s v="HIGH"/>
    <n v="0.1"/>
  </r>
  <r>
    <n v="10369"/>
    <s v="08-Jan-2025"/>
    <x v="145"/>
    <x v="1"/>
    <s v="Tamil Nadu"/>
    <x v="2"/>
    <s v="Office"/>
    <s v="Desk"/>
    <n v="7"/>
    <n v="11566.8"/>
    <n v="2935.83"/>
    <x v="0"/>
    <x v="2"/>
    <x v="0"/>
    <n v="2025"/>
    <s v="Q1"/>
    <n v="0.25381522979562199"/>
    <s v="HIGH"/>
    <n v="0.15"/>
  </r>
  <r>
    <n v="10370"/>
    <s v="24-May-2025"/>
    <x v="27"/>
    <x v="7"/>
    <s v="Delhi"/>
    <x v="2"/>
    <s v="Living Room"/>
    <s v="Sofa"/>
    <n v="1"/>
    <n v="1992.15"/>
    <n v="596.59"/>
    <x v="4"/>
    <x v="4"/>
    <x v="6"/>
    <n v="2025"/>
    <s v="Q2"/>
    <n v="0.29947042140401076"/>
    <s v="MEDIUM"/>
    <n v="0.05"/>
  </r>
  <r>
    <n v="10371"/>
    <s v="22-Aug-2025"/>
    <x v="87"/>
    <x v="5"/>
    <s v="Karnataka"/>
    <x v="0"/>
    <s v="Audio"/>
    <s v="Headphones"/>
    <n v="8"/>
    <n v="3360"/>
    <n v="543.63"/>
    <x v="2"/>
    <x v="3"/>
    <x v="5"/>
    <n v="2025"/>
    <s v="Q3"/>
    <n v="0.16179464285714285"/>
    <s v="MEDIUM"/>
    <n v="0"/>
  </r>
  <r>
    <n v="10372"/>
    <s v="22-Dec-2025"/>
    <x v="141"/>
    <x v="6"/>
    <s v="Maharashtra"/>
    <x v="0"/>
    <s v="Audio"/>
    <s v="Headphones"/>
    <n v="1"/>
    <n v="2442.0500000000002"/>
    <n v="554.85"/>
    <x v="0"/>
    <x v="0"/>
    <x v="9"/>
    <n v="2025"/>
    <s v="Q4"/>
    <n v="0.2272066501504883"/>
    <s v="MEDIUM"/>
    <n v="0.15"/>
  </r>
  <r>
    <n v="10373"/>
    <s v="23-May-2025"/>
    <x v="165"/>
    <x v="7"/>
    <s v="Delhi"/>
    <x v="1"/>
    <s v="Stationery"/>
    <s v="Notebook"/>
    <n v="4"/>
    <n v="11268"/>
    <n v="2645.78"/>
    <x v="1"/>
    <x v="2"/>
    <x v="6"/>
    <n v="2025"/>
    <s v="Q2"/>
    <n v="0.23480475683351085"/>
    <s v="HIGH"/>
    <n v="0.1"/>
  </r>
  <r>
    <n v="10374"/>
    <s v="12-Feb-2025"/>
    <x v="33"/>
    <x v="3"/>
    <s v="Gujarat"/>
    <x v="2"/>
    <s v="Chairs"/>
    <s v="Chair"/>
    <n v="8"/>
    <n v="13680"/>
    <n v="2136.89"/>
    <x v="1"/>
    <x v="0"/>
    <x v="1"/>
    <n v="2025"/>
    <s v="Q1"/>
    <n v="0.15620540935672514"/>
    <s v="HIGH"/>
    <n v="0.1"/>
  </r>
  <r>
    <n v="10375"/>
    <s v="29-Apr-2025"/>
    <x v="53"/>
    <x v="4"/>
    <s v="Telangana"/>
    <x v="0"/>
    <s v="Computers"/>
    <s v="Laptop"/>
    <n v="5"/>
    <n v="20567.5"/>
    <n v="5540.42"/>
    <x v="4"/>
    <x v="0"/>
    <x v="4"/>
    <n v="2025"/>
    <s v="Q2"/>
    <n v="0.26937741582593899"/>
    <s v="HIGH"/>
    <n v="0.05"/>
  </r>
  <r>
    <n v="10376"/>
    <s v="26-Nov-2025"/>
    <x v="89"/>
    <x v="7"/>
    <s v="Delhi"/>
    <x v="1"/>
    <s v="Stationery"/>
    <s v="Marker"/>
    <n v="1"/>
    <n v="757.15"/>
    <n v="213.43"/>
    <x v="4"/>
    <x v="0"/>
    <x v="10"/>
    <n v="2025"/>
    <s v="Q4"/>
    <n v="0.28188601994320811"/>
    <s v="LOW"/>
    <n v="0.05"/>
  </r>
  <r>
    <n v="10377"/>
    <s v="13-Oct-2025"/>
    <x v="38"/>
    <x v="4"/>
    <s v="Telangana"/>
    <x v="2"/>
    <s v="Living Room"/>
    <s v="Sofa"/>
    <n v="7"/>
    <n v="28992.6"/>
    <n v="5260.29"/>
    <x v="1"/>
    <x v="0"/>
    <x v="7"/>
    <n v="2025"/>
    <s v="Q4"/>
    <n v="0.18143560770679415"/>
    <s v="HIGH"/>
    <n v="0.1"/>
  </r>
  <r>
    <n v="10378"/>
    <s v="07-Jul-2025"/>
    <x v="158"/>
    <x v="2"/>
    <s v="West Bengal"/>
    <x v="0"/>
    <s v="Computers"/>
    <s v="Laptop"/>
    <n v="5"/>
    <n v="16401.75"/>
    <n v="3557.19"/>
    <x v="4"/>
    <x v="2"/>
    <x v="2"/>
    <n v="2025"/>
    <s v="Q3"/>
    <n v="0.21687868672550187"/>
    <s v="HIGH"/>
    <n v="0.05"/>
  </r>
  <r>
    <n v="10379"/>
    <s v="28-Mar-2025"/>
    <x v="166"/>
    <x v="1"/>
    <s v="Tamil Nadu"/>
    <x v="2"/>
    <s v="Office"/>
    <s v="Desk"/>
    <n v="7"/>
    <n v="6716.5"/>
    <n v="722.64"/>
    <x v="4"/>
    <x v="2"/>
    <x v="8"/>
    <n v="2025"/>
    <s v="Q1"/>
    <n v="0.10759175165636864"/>
    <s v="HIGH"/>
    <n v="0.05"/>
  </r>
  <r>
    <n v="10380"/>
    <s v="25-Mar-2025"/>
    <x v="32"/>
    <x v="7"/>
    <s v="Delhi"/>
    <x v="0"/>
    <s v="Accessories"/>
    <s v="Keyboard"/>
    <n v="7"/>
    <n v="15348.2"/>
    <n v="3669.62"/>
    <x v="4"/>
    <x v="2"/>
    <x v="8"/>
    <n v="2025"/>
    <s v="Q1"/>
    <n v="0.23909122893889836"/>
    <s v="HIGH"/>
    <n v="0.05"/>
  </r>
  <r>
    <n v="10381"/>
    <s v="10-Jul-2025"/>
    <x v="93"/>
    <x v="0"/>
    <s v="Maharashtra"/>
    <x v="2"/>
    <s v="Chairs"/>
    <s v="Chair"/>
    <n v="2"/>
    <n v="5674.6"/>
    <n v="857.38"/>
    <x v="0"/>
    <x v="3"/>
    <x v="2"/>
    <n v="2025"/>
    <s v="Q3"/>
    <n v="0.15109082578507735"/>
    <s v="HIGH"/>
    <n v="0.15"/>
  </r>
  <r>
    <n v="10382"/>
    <s v="12-May-2025"/>
    <x v="6"/>
    <x v="2"/>
    <s v="West Bengal"/>
    <x v="2"/>
    <s v="Tables"/>
    <s v="Table"/>
    <n v="8"/>
    <n v="12790.8"/>
    <n v="1544.45"/>
    <x v="0"/>
    <x v="3"/>
    <x v="6"/>
    <n v="2025"/>
    <s v="Q2"/>
    <n v="0.12074694311536417"/>
    <s v="HIGH"/>
    <n v="0.15"/>
  </r>
  <r>
    <n v="10383"/>
    <s v="25-Dec-2025"/>
    <x v="11"/>
    <x v="1"/>
    <s v="Tamil Nadu"/>
    <x v="2"/>
    <s v="Office"/>
    <s v="Desk"/>
    <n v="7"/>
    <n v="24864.35"/>
    <n v="6528.92"/>
    <x v="4"/>
    <x v="0"/>
    <x v="9"/>
    <n v="2025"/>
    <s v="Q4"/>
    <n v="0.26258156758572015"/>
    <s v="HIGH"/>
    <n v="0.05"/>
  </r>
  <r>
    <n v="10384"/>
    <s v="27-Jan-2025"/>
    <x v="144"/>
    <x v="3"/>
    <s v="Gujarat"/>
    <x v="0"/>
    <s v="Accessories"/>
    <s v="Mouse"/>
    <n v="4"/>
    <n v="14944"/>
    <n v="3172.27"/>
    <x v="3"/>
    <x v="2"/>
    <x v="0"/>
    <n v="2025"/>
    <s v="Q1"/>
    <n v="0.21227716809421843"/>
    <s v="HIGH"/>
    <n v="0.2"/>
  </r>
  <r>
    <n v="10385"/>
    <s v="03-Aug-2025"/>
    <x v="112"/>
    <x v="6"/>
    <s v="Maharashtra"/>
    <x v="0"/>
    <s v="Accessories"/>
    <s v="Mouse"/>
    <n v="4"/>
    <n v="9025"/>
    <n v="1061.3699999999999"/>
    <x v="4"/>
    <x v="1"/>
    <x v="5"/>
    <n v="2025"/>
    <s v="Q3"/>
    <n v="0.11760332409972298"/>
    <s v="HIGH"/>
    <n v="0.05"/>
  </r>
  <r>
    <n v="10386"/>
    <s v="24-Jan-2025"/>
    <x v="67"/>
    <x v="0"/>
    <s v="Maharashtra"/>
    <x v="2"/>
    <s v="Office"/>
    <s v="Desk"/>
    <n v="3"/>
    <n v="5270.4"/>
    <n v="1054.17"/>
    <x v="3"/>
    <x v="1"/>
    <x v="0"/>
    <n v="2025"/>
    <s v="Q1"/>
    <n v="0.20001707650273226"/>
    <s v="HIGH"/>
    <n v="0.2"/>
  </r>
  <r>
    <n v="10387"/>
    <s v="04-May-2025"/>
    <x v="7"/>
    <x v="1"/>
    <s v="Tamil Nadu"/>
    <x v="0"/>
    <s v="Computers"/>
    <s v="Laptop"/>
    <n v="3"/>
    <n v="2439.6"/>
    <n v="436.37"/>
    <x v="4"/>
    <x v="4"/>
    <x v="6"/>
    <n v="2025"/>
    <s v="Q2"/>
    <n v="0.17886948680111495"/>
    <s v="MEDIUM"/>
    <n v="0.05"/>
  </r>
  <r>
    <n v="10388"/>
    <s v="28-Jan-2025"/>
    <x v="83"/>
    <x v="3"/>
    <s v="Gujarat"/>
    <x v="2"/>
    <s v="Living Room"/>
    <s v="Sofa"/>
    <n v="1"/>
    <n v="4800"/>
    <n v="1117.25"/>
    <x v="2"/>
    <x v="4"/>
    <x v="0"/>
    <n v="2025"/>
    <s v="Q1"/>
    <n v="0.23276041666666666"/>
    <s v="MEDIUM"/>
    <n v="0"/>
  </r>
  <r>
    <n v="10389"/>
    <s v="07-Sep-2025"/>
    <x v="81"/>
    <x v="2"/>
    <s v="West Bengal"/>
    <x v="2"/>
    <s v="Living Room"/>
    <s v="Sofa"/>
    <n v="6"/>
    <n v="16267.2"/>
    <n v="2555.61"/>
    <x v="3"/>
    <x v="0"/>
    <x v="3"/>
    <n v="2025"/>
    <s v="Q3"/>
    <n v="0.15710202124520509"/>
    <s v="HIGH"/>
    <n v="0.2"/>
  </r>
  <r>
    <n v="10390"/>
    <s v="21-Feb-2025"/>
    <x v="83"/>
    <x v="4"/>
    <s v="Telangana"/>
    <x v="1"/>
    <s v="Stationery"/>
    <s v="Notebook"/>
    <n v="7"/>
    <n v="15909.6"/>
    <n v="1513.24"/>
    <x v="3"/>
    <x v="4"/>
    <x v="1"/>
    <n v="2025"/>
    <s v="Q1"/>
    <n v="9.5114899180369084E-2"/>
    <s v="HIGH"/>
    <n v="0.2"/>
  </r>
  <r>
    <n v="10391"/>
    <s v="15-Oct-2025"/>
    <x v="55"/>
    <x v="4"/>
    <s v="Telangana"/>
    <x v="2"/>
    <s v="Chairs"/>
    <s v="Chair"/>
    <n v="5"/>
    <n v="3316"/>
    <n v="405"/>
    <x v="3"/>
    <x v="1"/>
    <x v="7"/>
    <n v="2025"/>
    <s v="Q4"/>
    <n v="0.1221351025331725"/>
    <s v="MEDIUM"/>
    <n v="0.2"/>
  </r>
  <r>
    <n v="10392"/>
    <s v="12-Oct-2025"/>
    <x v="164"/>
    <x v="4"/>
    <s v="Telangana"/>
    <x v="1"/>
    <s v="Stationery"/>
    <s v="Marker"/>
    <n v="2"/>
    <n v="7964"/>
    <n v="1220.81"/>
    <x v="2"/>
    <x v="3"/>
    <x v="7"/>
    <n v="2025"/>
    <s v="Q4"/>
    <n v="0.15329105976896032"/>
    <s v="HIGH"/>
    <n v="0"/>
  </r>
  <r>
    <n v="10393"/>
    <s v="12-Jun-2025"/>
    <x v="98"/>
    <x v="3"/>
    <s v="Gujarat"/>
    <x v="1"/>
    <s v="Paper"/>
    <s v="Printer Paper"/>
    <n v="4"/>
    <n v="17644"/>
    <n v="3327.15"/>
    <x v="2"/>
    <x v="4"/>
    <x v="11"/>
    <n v="2025"/>
    <s v="Q2"/>
    <n v="0.18857118567218317"/>
    <s v="HIGH"/>
    <n v="0"/>
  </r>
  <r>
    <n v="10394"/>
    <s v="11-Jan-2025"/>
    <x v="157"/>
    <x v="2"/>
    <s v="West Bengal"/>
    <x v="2"/>
    <s v="Tables"/>
    <s v="Table"/>
    <n v="4"/>
    <n v="2642.4"/>
    <n v="311.89999999999998"/>
    <x v="1"/>
    <x v="1"/>
    <x v="0"/>
    <n v="2025"/>
    <s v="Q1"/>
    <n v="0.11803663336360883"/>
    <s v="MEDIUM"/>
    <n v="0.1"/>
  </r>
  <r>
    <n v="10395"/>
    <s v="22-Jan-2025"/>
    <x v="108"/>
    <x v="6"/>
    <s v="Maharashtra"/>
    <x v="1"/>
    <s v="Paper"/>
    <s v="Printer Paper"/>
    <n v="4"/>
    <n v="6838.4"/>
    <n v="799.93"/>
    <x v="3"/>
    <x v="3"/>
    <x v="0"/>
    <n v="2025"/>
    <s v="Q1"/>
    <n v="0.11697619326158165"/>
    <s v="HIGH"/>
    <n v="0.2"/>
  </r>
  <r>
    <n v="10396"/>
    <s v="16-Jun-2025"/>
    <x v="115"/>
    <x v="5"/>
    <s v="Karnataka"/>
    <x v="2"/>
    <s v="Office"/>
    <s v="Desk"/>
    <n v="2"/>
    <n v="9684"/>
    <n v="1375.88"/>
    <x v="2"/>
    <x v="1"/>
    <x v="11"/>
    <n v="2025"/>
    <s v="Q2"/>
    <n v="0.14207765386204049"/>
    <s v="HIGH"/>
    <n v="0"/>
  </r>
  <r>
    <n v="10397"/>
    <s v="31-Mar-2025"/>
    <x v="103"/>
    <x v="5"/>
    <s v="Karnataka"/>
    <x v="0"/>
    <s v="Accessories"/>
    <s v="Mouse"/>
    <n v="7"/>
    <n v="16430.400000000001"/>
    <n v="3516.77"/>
    <x v="1"/>
    <x v="0"/>
    <x v="8"/>
    <n v="2025"/>
    <s v="Q1"/>
    <n v="0.21404043723828997"/>
    <s v="HIGH"/>
    <n v="0.1"/>
  </r>
  <r>
    <n v="10398"/>
    <s v="02-May-2025"/>
    <x v="85"/>
    <x v="5"/>
    <s v="Karnataka"/>
    <x v="0"/>
    <s v="Computers"/>
    <s v="Laptop"/>
    <n v="2"/>
    <n v="9009.7999999999993"/>
    <n v="2260.87"/>
    <x v="4"/>
    <x v="2"/>
    <x v="6"/>
    <n v="2025"/>
    <s v="Q2"/>
    <n v="0.2509345379475682"/>
    <s v="HIGH"/>
    <n v="0.05"/>
  </r>
  <r>
    <n v="10399"/>
    <s v="28-Nov-2025"/>
    <x v="98"/>
    <x v="3"/>
    <s v="Gujarat"/>
    <x v="2"/>
    <s v="Living Room"/>
    <s v="Sofa"/>
    <n v="7"/>
    <n v="10458"/>
    <n v="1701.25"/>
    <x v="1"/>
    <x v="3"/>
    <x v="10"/>
    <n v="2025"/>
    <s v="Q4"/>
    <n v="0.16267450755402563"/>
    <s v="HIGH"/>
    <n v="0.1"/>
  </r>
  <r>
    <n v="10400"/>
    <s v="16-Jan-2025"/>
    <x v="13"/>
    <x v="6"/>
    <s v="Maharashtra"/>
    <x v="2"/>
    <s v="Tables"/>
    <s v="Table"/>
    <n v="1"/>
    <n v="1257.5999999999999"/>
    <n v="288.57"/>
    <x v="3"/>
    <x v="1"/>
    <x v="0"/>
    <n v="2025"/>
    <s v="Q1"/>
    <n v="0.22946087786259542"/>
    <s v="MEDIUM"/>
    <n v="0.2"/>
  </r>
  <r>
    <n v="10401"/>
    <s v="23-Feb-2025"/>
    <x v="86"/>
    <x v="1"/>
    <s v="Tamil Nadu"/>
    <x v="1"/>
    <s v="Stationery"/>
    <s v="Notebook"/>
    <n v="5"/>
    <n v="18963"/>
    <n v="2241.4899999999998"/>
    <x v="1"/>
    <x v="1"/>
    <x v="1"/>
    <n v="2025"/>
    <s v="Q1"/>
    <n v="0.11820334335284501"/>
    <s v="HIGH"/>
    <n v="0.1"/>
  </r>
  <r>
    <n v="10402"/>
    <s v="27-Oct-2025"/>
    <x v="167"/>
    <x v="6"/>
    <s v="Maharashtra"/>
    <x v="0"/>
    <s v="Accessories"/>
    <s v="Keyboard"/>
    <n v="4"/>
    <n v="14499.2"/>
    <n v="3383.16"/>
    <x v="3"/>
    <x v="0"/>
    <x v="7"/>
    <n v="2025"/>
    <s v="Q4"/>
    <n v="0.23333425292429924"/>
    <s v="HIGH"/>
    <n v="0.2"/>
  </r>
  <r>
    <n v="10403"/>
    <s v="18-Jan-2025"/>
    <x v="118"/>
    <x v="6"/>
    <s v="Maharashtra"/>
    <x v="0"/>
    <s v="Accessories"/>
    <s v="Keyboard"/>
    <n v="8"/>
    <n v="10216.799999999999"/>
    <n v="2711.22"/>
    <x v="1"/>
    <x v="1"/>
    <x v="0"/>
    <n v="2025"/>
    <s v="Q1"/>
    <n v="0.26536880432229271"/>
    <s v="HIGH"/>
    <n v="0.1"/>
  </r>
  <r>
    <n v="10404"/>
    <s v="26-Jan-2025"/>
    <x v="131"/>
    <x v="6"/>
    <s v="Maharashtra"/>
    <x v="0"/>
    <s v="Audio"/>
    <s v="Headphones"/>
    <n v="6"/>
    <n v="23400"/>
    <n v="5066.1000000000004"/>
    <x v="2"/>
    <x v="3"/>
    <x v="0"/>
    <n v="2025"/>
    <s v="Q1"/>
    <n v="0.21650000000000003"/>
    <s v="HIGH"/>
    <n v="0"/>
  </r>
  <r>
    <n v="10405"/>
    <s v="07-May-2025"/>
    <x v="42"/>
    <x v="5"/>
    <s v="Karnataka"/>
    <x v="2"/>
    <s v="Office"/>
    <s v="Desk"/>
    <n v="2"/>
    <n v="4533.8999999999996"/>
    <n v="888.22"/>
    <x v="0"/>
    <x v="3"/>
    <x v="6"/>
    <n v="2025"/>
    <s v="Q2"/>
    <n v="0.19590639405368449"/>
    <s v="MEDIUM"/>
    <n v="0.15"/>
  </r>
  <r>
    <n v="10406"/>
    <s v="16-Sep-2025"/>
    <x v="136"/>
    <x v="7"/>
    <s v="Delhi"/>
    <x v="0"/>
    <s v="Audio"/>
    <s v="Headphones"/>
    <n v="4"/>
    <n v="3636"/>
    <n v="314.5"/>
    <x v="2"/>
    <x v="2"/>
    <x v="3"/>
    <n v="2025"/>
    <s v="Q3"/>
    <n v="8.6496149614961493E-2"/>
    <s v="MEDIUM"/>
    <n v="0"/>
  </r>
  <r>
    <n v="10407"/>
    <s v="01-May-2025"/>
    <x v="79"/>
    <x v="2"/>
    <s v="West Bengal"/>
    <x v="1"/>
    <s v="Paper"/>
    <s v="Printer Paper"/>
    <n v="8"/>
    <n v="12920"/>
    <n v="1071.75"/>
    <x v="4"/>
    <x v="4"/>
    <x v="6"/>
    <n v="2025"/>
    <s v="Q2"/>
    <n v="8.2952786377708976E-2"/>
    <s v="HIGH"/>
    <n v="0.05"/>
  </r>
  <r>
    <n v="10408"/>
    <s v="20-Mar-2025"/>
    <x v="85"/>
    <x v="3"/>
    <s v="Gujarat"/>
    <x v="0"/>
    <s v="Audio"/>
    <s v="Headphones"/>
    <n v="1"/>
    <n v="1934.1"/>
    <n v="185.03"/>
    <x v="1"/>
    <x v="1"/>
    <x v="8"/>
    <n v="2025"/>
    <s v="Q1"/>
    <n v="9.5667235406649093E-2"/>
    <s v="MEDIUM"/>
    <n v="0.1"/>
  </r>
  <r>
    <n v="10409"/>
    <s v="17-Jul-2025"/>
    <x v="110"/>
    <x v="7"/>
    <s v="Delhi"/>
    <x v="2"/>
    <s v="Tables"/>
    <s v="Table"/>
    <n v="6"/>
    <n v="1440"/>
    <n v="173.72"/>
    <x v="3"/>
    <x v="4"/>
    <x v="2"/>
    <n v="2025"/>
    <s v="Q3"/>
    <n v="0.12063888888888889"/>
    <s v="MEDIUM"/>
    <n v="0.2"/>
  </r>
  <r>
    <n v="10410"/>
    <s v="27-Mar-2025"/>
    <x v="153"/>
    <x v="5"/>
    <s v="Karnataka"/>
    <x v="0"/>
    <s v="Audio"/>
    <s v="Headphones"/>
    <n v="4"/>
    <n v="9417.6"/>
    <n v="1027.8399999999999"/>
    <x v="1"/>
    <x v="0"/>
    <x v="8"/>
    <n v="2025"/>
    <s v="Q1"/>
    <n v="0.10914033299354399"/>
    <s v="HIGH"/>
    <n v="0.1"/>
  </r>
  <r>
    <n v="10411"/>
    <s v="09-Apr-2025"/>
    <x v="129"/>
    <x v="4"/>
    <s v="Telangana"/>
    <x v="2"/>
    <s v="Living Room"/>
    <s v="Sofa"/>
    <n v="4"/>
    <n v="16405"/>
    <n v="2210.3000000000002"/>
    <x v="0"/>
    <x v="4"/>
    <x v="4"/>
    <n v="2025"/>
    <s v="Q2"/>
    <n v="0.13473331301432492"/>
    <s v="HIGH"/>
    <n v="0.15"/>
  </r>
  <r>
    <n v="10412"/>
    <s v="24-Feb-2025"/>
    <x v="164"/>
    <x v="7"/>
    <s v="Delhi"/>
    <x v="0"/>
    <s v="Audio"/>
    <s v="Headphones"/>
    <n v="5"/>
    <n v="4678.75"/>
    <n v="429.94"/>
    <x v="4"/>
    <x v="1"/>
    <x v="1"/>
    <n v="2025"/>
    <s v="Q1"/>
    <n v="9.1892065188351593E-2"/>
    <s v="MEDIUM"/>
    <n v="0.05"/>
  </r>
  <r>
    <n v="10413"/>
    <s v="24-Feb-2025"/>
    <x v="168"/>
    <x v="3"/>
    <s v="Gujarat"/>
    <x v="0"/>
    <s v="Audio"/>
    <s v="Headphones"/>
    <n v="5"/>
    <n v="2717"/>
    <n v="335.45"/>
    <x v="4"/>
    <x v="3"/>
    <x v="1"/>
    <n v="2025"/>
    <s v="Q1"/>
    <n v="0.12346337872653662"/>
    <s v="MEDIUM"/>
    <n v="0.05"/>
  </r>
  <r>
    <n v="10414"/>
    <s v="05-Dec-2025"/>
    <x v="86"/>
    <x v="1"/>
    <s v="Tamil Nadu"/>
    <x v="1"/>
    <s v="Stationery"/>
    <s v="Notebook"/>
    <n v="6"/>
    <n v="20250"/>
    <n v="1925.07"/>
    <x v="1"/>
    <x v="2"/>
    <x v="9"/>
    <n v="2025"/>
    <s v="Q4"/>
    <n v="9.5065185185185183E-2"/>
    <s v="HIGH"/>
    <n v="0.1"/>
  </r>
  <r>
    <n v="10415"/>
    <s v="26-Jun-2025"/>
    <x v="145"/>
    <x v="3"/>
    <s v="Gujarat"/>
    <x v="2"/>
    <s v="Chairs"/>
    <s v="Chair"/>
    <n v="5"/>
    <n v="9367"/>
    <n v="1819.22"/>
    <x v="4"/>
    <x v="1"/>
    <x v="11"/>
    <n v="2025"/>
    <s v="Q2"/>
    <n v="0.19421586420412085"/>
    <s v="HIGH"/>
    <n v="0.05"/>
  </r>
  <r>
    <n v="10416"/>
    <s v="21-Aug-2025"/>
    <x v="85"/>
    <x v="6"/>
    <s v="Maharashtra"/>
    <x v="2"/>
    <s v="Office"/>
    <s v="Desk"/>
    <n v="1"/>
    <n v="139.65"/>
    <n v="34.590000000000003"/>
    <x v="4"/>
    <x v="0"/>
    <x v="5"/>
    <n v="2025"/>
    <s v="Q3"/>
    <n v="0.24769065520945222"/>
    <s v="LOW"/>
    <n v="0.05"/>
  </r>
  <r>
    <n v="10417"/>
    <s v="24-Dec-2025"/>
    <x v="164"/>
    <x v="3"/>
    <s v="Gujarat"/>
    <x v="2"/>
    <s v="Tables"/>
    <s v="Table"/>
    <n v="4"/>
    <n v="15000.8"/>
    <n v="1701.34"/>
    <x v="0"/>
    <x v="1"/>
    <x v="9"/>
    <n v="2025"/>
    <s v="Q4"/>
    <n v="0.11341661778038505"/>
    <s v="HIGH"/>
    <n v="0.15"/>
  </r>
  <r>
    <n v="10418"/>
    <s v="17-Sep-2025"/>
    <x v="40"/>
    <x v="7"/>
    <s v="Delhi"/>
    <x v="1"/>
    <s v="Stationery"/>
    <s v="Notebook"/>
    <n v="6"/>
    <n v="13598.4"/>
    <n v="1613.51"/>
    <x v="3"/>
    <x v="4"/>
    <x v="3"/>
    <n v="2025"/>
    <s v="Q3"/>
    <n v="0.11865440051770797"/>
    <s v="HIGH"/>
    <n v="0.2"/>
  </r>
  <r>
    <n v="10419"/>
    <s v="29-Oct-2025"/>
    <x v="24"/>
    <x v="2"/>
    <s v="West Bengal"/>
    <x v="0"/>
    <s v="Audio"/>
    <s v="Headphones"/>
    <n v="7"/>
    <n v="13923"/>
    <n v="4160.3900000000003"/>
    <x v="2"/>
    <x v="2"/>
    <x v="7"/>
    <n v="2025"/>
    <s v="Q4"/>
    <n v="0.29881419234360412"/>
    <s v="HIGH"/>
    <n v="0"/>
  </r>
  <r>
    <n v="10420"/>
    <s v="01-Jul-2025"/>
    <x v="136"/>
    <x v="1"/>
    <s v="Tamil Nadu"/>
    <x v="2"/>
    <s v="Office"/>
    <s v="Desk"/>
    <n v="6"/>
    <n v="22051.200000000001"/>
    <n v="5859.08"/>
    <x v="3"/>
    <x v="2"/>
    <x v="2"/>
    <n v="2025"/>
    <s v="Q3"/>
    <n v="0.26570345378029314"/>
    <s v="HIGH"/>
    <n v="0.2"/>
  </r>
  <r>
    <n v="10421"/>
    <s v="18-Jun-2025"/>
    <x v="55"/>
    <x v="3"/>
    <s v="Gujarat"/>
    <x v="1"/>
    <s v="Paper"/>
    <s v="Printer Paper"/>
    <n v="2"/>
    <n v="4798.3999999999996"/>
    <n v="1279.94"/>
    <x v="3"/>
    <x v="3"/>
    <x v="11"/>
    <n v="2025"/>
    <s v="Q2"/>
    <n v="0.26674308102700905"/>
    <s v="MEDIUM"/>
    <n v="0.2"/>
  </r>
  <r>
    <n v="10422"/>
    <s v="06-Dec-2025"/>
    <x v="39"/>
    <x v="5"/>
    <s v="Karnataka"/>
    <x v="1"/>
    <s v="Stationery"/>
    <s v="Notebook"/>
    <n v="8"/>
    <n v="32940"/>
    <n v="6261.02"/>
    <x v="1"/>
    <x v="1"/>
    <x v="9"/>
    <n v="2025"/>
    <s v="Q4"/>
    <n v="0.1900734669095325"/>
    <s v="HIGH"/>
    <n v="0.1"/>
  </r>
  <r>
    <n v="10423"/>
    <s v="01-Oct-2025"/>
    <x v="18"/>
    <x v="7"/>
    <s v="Delhi"/>
    <x v="1"/>
    <s v="Paper"/>
    <s v="Printer Paper"/>
    <n v="4"/>
    <n v="5472"/>
    <n v="1277.56"/>
    <x v="3"/>
    <x v="3"/>
    <x v="7"/>
    <n v="2025"/>
    <s v="Q4"/>
    <n v="0.23347222222222222"/>
    <s v="HIGH"/>
    <n v="0.2"/>
  </r>
  <r>
    <n v="10424"/>
    <s v="13-Mar-2025"/>
    <x v="34"/>
    <x v="4"/>
    <s v="Telangana"/>
    <x v="1"/>
    <s v="Stationery"/>
    <s v="Notebook"/>
    <n v="6"/>
    <n v="11343"/>
    <n v="1075.83"/>
    <x v="4"/>
    <x v="2"/>
    <x v="8"/>
    <n v="2025"/>
    <s v="Q1"/>
    <n v="9.4845279026712498E-2"/>
    <s v="HIGH"/>
    <n v="0.05"/>
  </r>
  <r>
    <n v="10425"/>
    <s v="12-Nov-2025"/>
    <x v="169"/>
    <x v="5"/>
    <s v="Karnataka"/>
    <x v="2"/>
    <s v="Office"/>
    <s v="Desk"/>
    <n v="5"/>
    <n v="20772"/>
    <n v="6156.39"/>
    <x v="1"/>
    <x v="3"/>
    <x v="10"/>
    <n v="2025"/>
    <s v="Q4"/>
    <n v="0.2963792605430387"/>
    <s v="HIGH"/>
    <n v="0.1"/>
  </r>
  <r>
    <n v="10426"/>
    <s v="30-Jan-2025"/>
    <x v="165"/>
    <x v="6"/>
    <s v="Maharashtra"/>
    <x v="2"/>
    <s v="Living Room"/>
    <s v="Sofa"/>
    <n v="3"/>
    <n v="1582.2"/>
    <n v="215.41"/>
    <x v="1"/>
    <x v="0"/>
    <x v="0"/>
    <n v="2025"/>
    <s v="Q1"/>
    <n v="0.13614587283529261"/>
    <s v="MEDIUM"/>
    <n v="0.1"/>
  </r>
  <r>
    <n v="10427"/>
    <s v="03-Mar-2025"/>
    <x v="30"/>
    <x v="0"/>
    <s v="Maharashtra"/>
    <x v="0"/>
    <s v="Computers"/>
    <s v="Laptop"/>
    <n v="6"/>
    <n v="15168"/>
    <n v="2946.25"/>
    <x v="3"/>
    <x v="0"/>
    <x v="8"/>
    <n v="2025"/>
    <s v="Q1"/>
    <n v="0.19424116561181434"/>
    <s v="HIGH"/>
    <n v="0.2"/>
  </r>
  <r>
    <n v="10428"/>
    <s v="01-Sep-2025"/>
    <x v="155"/>
    <x v="1"/>
    <s v="Tamil Nadu"/>
    <x v="2"/>
    <s v="Living Room"/>
    <s v="Sofa"/>
    <n v="8"/>
    <n v="6760.8"/>
    <n v="938.73"/>
    <x v="1"/>
    <x v="1"/>
    <x v="3"/>
    <n v="2025"/>
    <s v="Q3"/>
    <n v="0.13884895278665246"/>
    <s v="HIGH"/>
    <n v="0.1"/>
  </r>
  <r>
    <n v="10429"/>
    <s v="24-Nov-2025"/>
    <x v="157"/>
    <x v="0"/>
    <s v="Maharashtra"/>
    <x v="2"/>
    <s v="Office"/>
    <s v="Desk"/>
    <n v="4"/>
    <n v="5500"/>
    <n v="1446.62"/>
    <x v="2"/>
    <x v="1"/>
    <x v="10"/>
    <n v="2025"/>
    <s v="Q4"/>
    <n v="0.26302181818181813"/>
    <s v="HIGH"/>
    <n v="0"/>
  </r>
  <r>
    <n v="10430"/>
    <s v="20-Jan-2025"/>
    <x v="127"/>
    <x v="0"/>
    <s v="Maharashtra"/>
    <x v="1"/>
    <s v="Stationery"/>
    <s v="Notebook"/>
    <n v="6"/>
    <n v="2203.1999999999998"/>
    <n v="290.01"/>
    <x v="0"/>
    <x v="3"/>
    <x v="0"/>
    <n v="2025"/>
    <s v="Q1"/>
    <n v="0.13163126361655775"/>
    <s v="MEDIUM"/>
    <n v="0.15"/>
  </r>
  <r>
    <n v="10431"/>
    <s v="19-Sep-2025"/>
    <x v="112"/>
    <x v="2"/>
    <s v="West Bengal"/>
    <x v="0"/>
    <s v="Computers"/>
    <s v="Laptop"/>
    <n v="3"/>
    <n v="10142.4"/>
    <n v="2827.06"/>
    <x v="3"/>
    <x v="2"/>
    <x v="3"/>
    <n v="2025"/>
    <s v="Q3"/>
    <n v="0.27873678813693015"/>
    <s v="HIGH"/>
    <n v="0.2"/>
  </r>
  <r>
    <n v="10432"/>
    <s v="01-Sep-2025"/>
    <x v="170"/>
    <x v="5"/>
    <s v="Karnataka"/>
    <x v="2"/>
    <s v="Living Room"/>
    <s v="Sofa"/>
    <n v="8"/>
    <n v="10389.6"/>
    <n v="2539.98"/>
    <x v="1"/>
    <x v="4"/>
    <x v="3"/>
    <n v="2025"/>
    <s v="Q3"/>
    <n v="0.24447331947331946"/>
    <s v="HIGH"/>
    <n v="0.1"/>
  </r>
  <r>
    <n v="10433"/>
    <s v="03-Nov-2025"/>
    <x v="11"/>
    <x v="0"/>
    <s v="Maharashtra"/>
    <x v="2"/>
    <s v="Tables"/>
    <s v="Table"/>
    <n v="1"/>
    <n v="1972.8"/>
    <n v="580.76"/>
    <x v="1"/>
    <x v="4"/>
    <x v="10"/>
    <n v="2025"/>
    <s v="Q4"/>
    <n v="0.29438361719383616"/>
    <s v="MEDIUM"/>
    <n v="0.1"/>
  </r>
  <r>
    <n v="10434"/>
    <s v="25-Mar-2025"/>
    <x v="133"/>
    <x v="1"/>
    <s v="Tamil Nadu"/>
    <x v="1"/>
    <s v="Stationery"/>
    <s v="Notebook"/>
    <n v="5"/>
    <n v="17140.5"/>
    <n v="5140.82"/>
    <x v="1"/>
    <x v="3"/>
    <x v="8"/>
    <n v="2025"/>
    <s v="Q1"/>
    <n v="0.29992240599749131"/>
    <s v="HIGH"/>
    <n v="0.1"/>
  </r>
  <r>
    <n v="10435"/>
    <s v="22-May-2025"/>
    <x v="5"/>
    <x v="7"/>
    <s v="Delhi"/>
    <x v="0"/>
    <s v="Accessories"/>
    <s v="Keyboard"/>
    <n v="1"/>
    <n v="779.4"/>
    <n v="66.989999999999995"/>
    <x v="1"/>
    <x v="4"/>
    <x v="6"/>
    <n v="2025"/>
    <s v="Q2"/>
    <n v="8.5950731331793678E-2"/>
    <s v="LOW"/>
    <n v="0.1"/>
  </r>
  <r>
    <n v="10436"/>
    <s v="27-Jul-2025"/>
    <x v="119"/>
    <x v="3"/>
    <s v="Gujarat"/>
    <x v="2"/>
    <s v="Tables"/>
    <s v="Table"/>
    <n v="4"/>
    <n v="9785.2000000000007"/>
    <n v="2594.94"/>
    <x v="0"/>
    <x v="4"/>
    <x v="2"/>
    <n v="2025"/>
    <s v="Q3"/>
    <n v="0.26519028737276701"/>
    <s v="HIGH"/>
    <n v="0.15"/>
  </r>
  <r>
    <n v="10437"/>
    <s v="15-Apr-2025"/>
    <x v="171"/>
    <x v="3"/>
    <s v="Gujarat"/>
    <x v="0"/>
    <s v="Accessories"/>
    <s v="Mouse"/>
    <n v="5"/>
    <n v="14560"/>
    <n v="3154.23"/>
    <x v="3"/>
    <x v="1"/>
    <x v="4"/>
    <n v="2025"/>
    <s v="Q2"/>
    <n v="0.21663667582417581"/>
    <s v="HIGH"/>
    <n v="0.2"/>
  </r>
  <r>
    <n v="10438"/>
    <s v="31-Dec-2025"/>
    <x v="172"/>
    <x v="7"/>
    <s v="Delhi"/>
    <x v="1"/>
    <s v="Stationery"/>
    <s v="Marker"/>
    <n v="1"/>
    <n v="2969.9"/>
    <n v="479.09"/>
    <x v="0"/>
    <x v="0"/>
    <x v="9"/>
    <n v="2025"/>
    <s v="Q4"/>
    <n v="0.16131519579783829"/>
    <s v="MEDIUM"/>
    <n v="0.15"/>
  </r>
  <r>
    <n v="10439"/>
    <s v="19-Feb-2025"/>
    <x v="68"/>
    <x v="6"/>
    <s v="Maharashtra"/>
    <x v="0"/>
    <s v="Accessories"/>
    <s v="Keyboard"/>
    <n v="5"/>
    <n v="16819.75"/>
    <n v="4828.8900000000003"/>
    <x v="4"/>
    <x v="4"/>
    <x v="1"/>
    <n v="2025"/>
    <s v="Q1"/>
    <n v="0.28709641938792196"/>
    <s v="HIGH"/>
    <n v="0.05"/>
  </r>
  <r>
    <n v="10440"/>
    <s v="10-Dec-2025"/>
    <x v="68"/>
    <x v="4"/>
    <s v="Telangana"/>
    <x v="2"/>
    <s v="Chairs"/>
    <s v="Chair"/>
    <n v="2"/>
    <n v="3848.4"/>
    <n v="491.72"/>
    <x v="1"/>
    <x v="2"/>
    <x v="9"/>
    <n v="2025"/>
    <s v="Q4"/>
    <n v="0.12777258081280532"/>
    <s v="MEDIUM"/>
    <n v="0.1"/>
  </r>
  <r>
    <n v="10441"/>
    <s v="28-Nov-2025"/>
    <x v="157"/>
    <x v="7"/>
    <s v="Delhi"/>
    <x v="0"/>
    <s v="Accessories"/>
    <s v="Mouse"/>
    <n v="7"/>
    <n v="32375"/>
    <n v="3211.85"/>
    <x v="2"/>
    <x v="0"/>
    <x v="10"/>
    <n v="2025"/>
    <s v="Q4"/>
    <n v="9.9207722007722002E-2"/>
    <s v="HIGH"/>
    <n v="0"/>
  </r>
  <r>
    <n v="10442"/>
    <s v="09-Sep-2025"/>
    <x v="89"/>
    <x v="4"/>
    <s v="Telangana"/>
    <x v="0"/>
    <s v="Accessories"/>
    <s v="Mouse"/>
    <n v="6"/>
    <n v="15048"/>
    <n v="3079.62"/>
    <x v="2"/>
    <x v="2"/>
    <x v="3"/>
    <n v="2025"/>
    <s v="Q3"/>
    <n v="0.20465311004784689"/>
    <s v="HIGH"/>
    <n v="0"/>
  </r>
  <r>
    <n v="10443"/>
    <s v="21-Oct-2025"/>
    <x v="141"/>
    <x v="3"/>
    <s v="Gujarat"/>
    <x v="0"/>
    <s v="Audio"/>
    <s v="Headphones"/>
    <n v="3"/>
    <n v="10133.1"/>
    <n v="851.2"/>
    <x v="1"/>
    <x v="4"/>
    <x v="7"/>
    <n v="2025"/>
    <s v="Q4"/>
    <n v="8.400193425506508E-2"/>
    <s v="HIGH"/>
    <n v="0.1"/>
  </r>
  <r>
    <n v="10444"/>
    <s v="21-Sep-2025"/>
    <x v="45"/>
    <x v="2"/>
    <s v="West Bengal"/>
    <x v="2"/>
    <s v="Tables"/>
    <s v="Table"/>
    <n v="7"/>
    <n v="15088.85"/>
    <n v="2307"/>
    <x v="4"/>
    <x v="0"/>
    <x v="3"/>
    <n v="2025"/>
    <s v="Q3"/>
    <n v="0.15289435576601265"/>
    <s v="HIGH"/>
    <n v="0.05"/>
  </r>
  <r>
    <n v="10445"/>
    <s v="15-Jan-2025"/>
    <x v="121"/>
    <x v="0"/>
    <s v="Maharashtra"/>
    <x v="0"/>
    <s v="Computers"/>
    <s v="Laptop"/>
    <n v="4"/>
    <n v="16668"/>
    <n v="4394.71"/>
    <x v="1"/>
    <x v="1"/>
    <x v="0"/>
    <n v="2025"/>
    <s v="Q1"/>
    <n v="0.26366150707943364"/>
    <s v="HIGH"/>
    <n v="0.1"/>
  </r>
  <r>
    <n v="10446"/>
    <s v="29-Nov-2025"/>
    <x v="112"/>
    <x v="3"/>
    <s v="Gujarat"/>
    <x v="0"/>
    <s v="Accessories"/>
    <s v="Keyboard"/>
    <n v="7"/>
    <n v="26068"/>
    <n v="7123.33"/>
    <x v="4"/>
    <x v="1"/>
    <x v="10"/>
    <n v="2025"/>
    <s v="Q4"/>
    <n v="0.27325955194107721"/>
    <s v="HIGH"/>
    <n v="0.05"/>
  </r>
  <r>
    <n v="10447"/>
    <s v="23-Feb-2025"/>
    <x v="159"/>
    <x v="1"/>
    <s v="Tamil Nadu"/>
    <x v="2"/>
    <s v="Chairs"/>
    <s v="Chair"/>
    <n v="2"/>
    <n v="3152"/>
    <n v="578.28"/>
    <x v="2"/>
    <x v="4"/>
    <x v="1"/>
    <n v="2025"/>
    <s v="Q1"/>
    <n v="0.18346446700507613"/>
    <s v="MEDIUM"/>
    <n v="0"/>
  </r>
  <r>
    <n v="10448"/>
    <s v="25-Sep-2025"/>
    <x v="28"/>
    <x v="0"/>
    <s v="Maharashtra"/>
    <x v="2"/>
    <s v="Living Room"/>
    <s v="Sofa"/>
    <n v="1"/>
    <n v="530.4"/>
    <n v="127.91"/>
    <x v="0"/>
    <x v="1"/>
    <x v="3"/>
    <n v="2025"/>
    <s v="Q3"/>
    <n v="0.24115761689291101"/>
    <s v="LOW"/>
    <n v="0.15"/>
  </r>
  <r>
    <n v="10449"/>
    <s v="13-Mar-2025"/>
    <x v="25"/>
    <x v="3"/>
    <s v="Gujarat"/>
    <x v="1"/>
    <s v="Stationery"/>
    <s v="Marker"/>
    <n v="1"/>
    <n v="1550.4"/>
    <n v="239.28"/>
    <x v="3"/>
    <x v="4"/>
    <x v="8"/>
    <n v="2025"/>
    <s v="Q1"/>
    <n v="0.15433436532507738"/>
    <s v="MEDIUM"/>
    <n v="0.2"/>
  </r>
  <r>
    <n v="10450"/>
    <s v="13-Sep-2025"/>
    <x v="71"/>
    <x v="5"/>
    <s v="Karnataka"/>
    <x v="2"/>
    <s v="Chairs"/>
    <s v="Chair"/>
    <n v="3"/>
    <n v="6432"/>
    <n v="1784.62"/>
    <x v="2"/>
    <x v="0"/>
    <x v="3"/>
    <n v="2025"/>
    <s v="Q3"/>
    <n v="0.27745957711442787"/>
    <s v="HIGH"/>
    <n v="0"/>
  </r>
  <r>
    <n v="10451"/>
    <s v="19-Nov-2025"/>
    <x v="59"/>
    <x v="2"/>
    <s v="West Bengal"/>
    <x v="0"/>
    <s v="Accessories"/>
    <s v="Keyboard"/>
    <n v="1"/>
    <n v="591.6"/>
    <n v="122.4"/>
    <x v="0"/>
    <x v="1"/>
    <x v="10"/>
    <n v="2025"/>
    <s v="Q4"/>
    <n v="0.20689655172413793"/>
    <s v="LOW"/>
    <n v="0.15"/>
  </r>
  <r>
    <n v="10452"/>
    <s v="20-Feb-2025"/>
    <x v="51"/>
    <x v="2"/>
    <s v="West Bengal"/>
    <x v="2"/>
    <s v="Tables"/>
    <s v="Table"/>
    <n v="7"/>
    <n v="17766"/>
    <n v="4971.1899999999996"/>
    <x v="1"/>
    <x v="2"/>
    <x v="1"/>
    <n v="2025"/>
    <s v="Q1"/>
    <n v="0.27981481481481479"/>
    <s v="HIGH"/>
    <n v="0.1"/>
  </r>
  <r>
    <n v="10453"/>
    <s v="08-Nov-2025"/>
    <x v="92"/>
    <x v="6"/>
    <s v="Maharashtra"/>
    <x v="0"/>
    <s v="Accessories"/>
    <s v="Mouse"/>
    <n v="7"/>
    <n v="6136.2"/>
    <n v="683.32"/>
    <x v="1"/>
    <x v="2"/>
    <x v="10"/>
    <n v="2025"/>
    <s v="Q4"/>
    <n v="0.11135882142042307"/>
    <s v="HIGH"/>
    <n v="0.1"/>
  </r>
  <r>
    <n v="10454"/>
    <s v="25-Jan-2025"/>
    <x v="66"/>
    <x v="5"/>
    <s v="Karnataka"/>
    <x v="0"/>
    <s v="Accessories"/>
    <s v="Keyboard"/>
    <n v="6"/>
    <n v="17538.900000000001"/>
    <n v="2829.06"/>
    <x v="0"/>
    <x v="1"/>
    <x v="0"/>
    <n v="2025"/>
    <s v="Q1"/>
    <n v="0.16130202008107691"/>
    <s v="HIGH"/>
    <n v="0.15"/>
  </r>
  <r>
    <n v="10455"/>
    <s v="11-May-2025"/>
    <x v="173"/>
    <x v="2"/>
    <s v="West Bengal"/>
    <x v="1"/>
    <s v="Stationery"/>
    <s v="Notebook"/>
    <n v="6"/>
    <n v="2634"/>
    <n v="425.54"/>
    <x v="2"/>
    <x v="1"/>
    <x v="6"/>
    <n v="2025"/>
    <s v="Q2"/>
    <n v="0.16155656795747914"/>
    <s v="MEDIUM"/>
    <n v="0"/>
  </r>
  <r>
    <n v="10456"/>
    <s v="29-Aug-2025"/>
    <x v="146"/>
    <x v="6"/>
    <s v="Maharashtra"/>
    <x v="2"/>
    <s v="Living Room"/>
    <s v="Sofa"/>
    <n v="8"/>
    <n v="28814.400000000001"/>
    <n v="2896.02"/>
    <x v="1"/>
    <x v="3"/>
    <x v="5"/>
    <n v="2025"/>
    <s v="Q3"/>
    <n v="0.10050599700149924"/>
    <s v="HIGH"/>
    <n v="0.1"/>
  </r>
  <r>
    <n v="10457"/>
    <s v="08-Dec-2025"/>
    <x v="174"/>
    <x v="2"/>
    <s v="West Bengal"/>
    <x v="0"/>
    <s v="Audio"/>
    <s v="Headphones"/>
    <n v="6"/>
    <n v="28254.9"/>
    <n v="5716.17"/>
    <x v="4"/>
    <x v="3"/>
    <x v="9"/>
    <n v="2025"/>
    <s v="Q4"/>
    <n v="0.20230721043075714"/>
    <s v="HIGH"/>
    <n v="0.05"/>
  </r>
  <r>
    <n v="10458"/>
    <s v="19-Jan-2025"/>
    <x v="48"/>
    <x v="3"/>
    <s v="Gujarat"/>
    <x v="0"/>
    <s v="Accessories"/>
    <s v="Keyboard"/>
    <n v="8"/>
    <n v="28396.799999999999"/>
    <n v="7394.42"/>
    <x v="0"/>
    <x v="4"/>
    <x v="0"/>
    <n v="2025"/>
    <s v="Q1"/>
    <n v="0.26039624183006538"/>
    <s v="HIGH"/>
    <n v="0.15"/>
  </r>
  <r>
    <n v="10459"/>
    <s v="31-Dec-2025"/>
    <x v="9"/>
    <x v="7"/>
    <s v="Delhi"/>
    <x v="1"/>
    <s v="Paper"/>
    <s v="Printer Paper"/>
    <n v="4"/>
    <n v="17732"/>
    <n v="3341.81"/>
    <x v="2"/>
    <x v="2"/>
    <x v="9"/>
    <n v="2025"/>
    <s v="Q4"/>
    <n v="0.1884621024137153"/>
    <s v="HIGH"/>
    <n v="0"/>
  </r>
  <r>
    <n v="10460"/>
    <s v="18-Feb-2025"/>
    <x v="15"/>
    <x v="5"/>
    <s v="Karnataka"/>
    <x v="0"/>
    <s v="Accessories"/>
    <s v="Keyboard"/>
    <n v="7"/>
    <n v="13675.2"/>
    <n v="1433.35"/>
    <x v="3"/>
    <x v="2"/>
    <x v="1"/>
    <n v="2025"/>
    <s v="Q1"/>
    <n v="0.10481382356382356"/>
    <s v="HIGH"/>
    <n v="0.2"/>
  </r>
  <r>
    <n v="10461"/>
    <s v="18-Jan-2025"/>
    <x v="175"/>
    <x v="7"/>
    <s v="Delhi"/>
    <x v="0"/>
    <s v="Accessories"/>
    <s v="Keyboard"/>
    <n v="8"/>
    <n v="33428.800000000003"/>
    <n v="9584.59"/>
    <x v="0"/>
    <x v="4"/>
    <x v="0"/>
    <n v="2025"/>
    <s v="Q1"/>
    <n v="0.28671654381850381"/>
    <s v="HIGH"/>
    <n v="0.15"/>
  </r>
  <r>
    <n v="10462"/>
    <s v="06-Sep-2025"/>
    <x v="141"/>
    <x v="2"/>
    <s v="West Bengal"/>
    <x v="1"/>
    <s v="Stationery"/>
    <s v="Notebook"/>
    <n v="4"/>
    <n v="12266.4"/>
    <n v="1277.19"/>
    <x v="4"/>
    <x v="4"/>
    <x v="3"/>
    <n v="2025"/>
    <s v="Q3"/>
    <n v="0.10412101350029349"/>
    <s v="HIGH"/>
    <n v="0.05"/>
  </r>
  <r>
    <n v="10463"/>
    <s v="21-Apr-2025"/>
    <x v="176"/>
    <x v="4"/>
    <s v="Telangana"/>
    <x v="0"/>
    <s v="Accessories"/>
    <s v="Keyboard"/>
    <n v="4"/>
    <n v="8622.4"/>
    <n v="733.86"/>
    <x v="0"/>
    <x v="3"/>
    <x v="4"/>
    <n v="2025"/>
    <s v="Q2"/>
    <n v="8.5110874002597883E-2"/>
    <s v="HIGH"/>
    <n v="0.15"/>
  </r>
  <r>
    <n v="10464"/>
    <s v="06-Oct-2025"/>
    <x v="72"/>
    <x v="7"/>
    <s v="Delhi"/>
    <x v="1"/>
    <s v="Stationery"/>
    <s v="Notebook"/>
    <n v="1"/>
    <n v="3151.2"/>
    <n v="386.61"/>
    <x v="3"/>
    <x v="4"/>
    <x v="7"/>
    <n v="2025"/>
    <s v="Q4"/>
    <n v="0.1226865955826352"/>
    <s v="MEDIUM"/>
    <n v="0.2"/>
  </r>
  <r>
    <n v="10465"/>
    <s v="27-Oct-2025"/>
    <x v="135"/>
    <x v="7"/>
    <s v="Delhi"/>
    <x v="2"/>
    <s v="Chairs"/>
    <s v="Chair"/>
    <n v="2"/>
    <n v="6623.4"/>
    <n v="1214.47"/>
    <x v="4"/>
    <x v="1"/>
    <x v="7"/>
    <n v="2025"/>
    <s v="Q4"/>
    <n v="0.18336050970800497"/>
    <s v="HIGH"/>
    <n v="0.05"/>
  </r>
  <r>
    <n v="10466"/>
    <s v="20-Nov-2025"/>
    <x v="122"/>
    <x v="1"/>
    <s v="Tamil Nadu"/>
    <x v="1"/>
    <s v="Paper"/>
    <s v="Printer Paper"/>
    <n v="4"/>
    <n v="6397.2"/>
    <n v="571.64"/>
    <x v="1"/>
    <x v="2"/>
    <x v="10"/>
    <n v="2025"/>
    <s v="Q4"/>
    <n v="8.9357844056774841E-2"/>
    <s v="HIGH"/>
    <n v="0.1"/>
  </r>
  <r>
    <n v="10467"/>
    <s v="20-Dec-2025"/>
    <x v="70"/>
    <x v="4"/>
    <s v="Telangana"/>
    <x v="1"/>
    <s v="Paper"/>
    <s v="Printer Paper"/>
    <n v="5"/>
    <n v="10710"/>
    <n v="2289.06"/>
    <x v="0"/>
    <x v="0"/>
    <x v="9"/>
    <n v="2025"/>
    <s v="Q4"/>
    <n v="0.21373109243697477"/>
    <s v="HIGH"/>
    <n v="0.15"/>
  </r>
  <r>
    <n v="10468"/>
    <s v="28-Aug-2025"/>
    <x v="56"/>
    <x v="1"/>
    <s v="Tamil Nadu"/>
    <x v="2"/>
    <s v="Office"/>
    <s v="Desk"/>
    <n v="8"/>
    <n v="21950.400000000001"/>
    <n v="2084.1799999999998"/>
    <x v="0"/>
    <x v="2"/>
    <x v="5"/>
    <n v="2025"/>
    <s v="Q3"/>
    <n v="9.4949522559953342E-2"/>
    <s v="HIGH"/>
    <n v="0.15"/>
  </r>
  <r>
    <n v="10469"/>
    <s v="28-Nov-2025"/>
    <x v="8"/>
    <x v="4"/>
    <s v="Telangana"/>
    <x v="1"/>
    <s v="Paper"/>
    <s v="Printer Paper"/>
    <n v="3"/>
    <n v="9160.7999999999993"/>
    <n v="1752.35"/>
    <x v="3"/>
    <x v="2"/>
    <x v="10"/>
    <n v="2025"/>
    <s v="Q4"/>
    <n v="0.19128787878787878"/>
    <s v="HIGH"/>
    <n v="0.2"/>
  </r>
  <r>
    <n v="10470"/>
    <s v="27-Jun-2025"/>
    <x v="78"/>
    <x v="4"/>
    <s v="Telangana"/>
    <x v="0"/>
    <s v="Accessories"/>
    <s v="Keyboard"/>
    <n v="2"/>
    <n v="6222"/>
    <n v="1310.1099999999999"/>
    <x v="0"/>
    <x v="2"/>
    <x v="11"/>
    <n v="2025"/>
    <s v="Q2"/>
    <n v="0.21056091288974604"/>
    <s v="HIGH"/>
    <n v="0.15"/>
  </r>
  <r>
    <n v="10471"/>
    <s v="10-Apr-2025"/>
    <x v="52"/>
    <x v="6"/>
    <s v="Maharashtra"/>
    <x v="1"/>
    <s v="Paper"/>
    <s v="Printer Paper"/>
    <n v="6"/>
    <n v="7392.9"/>
    <n v="981.77"/>
    <x v="4"/>
    <x v="1"/>
    <x v="4"/>
    <n v="2025"/>
    <s v="Q2"/>
    <n v="0.13279903691379566"/>
    <s v="HIGH"/>
    <n v="0.05"/>
  </r>
  <r>
    <n v="10472"/>
    <s v="16-May-2025"/>
    <x v="105"/>
    <x v="3"/>
    <s v="Gujarat"/>
    <x v="2"/>
    <s v="Office"/>
    <s v="Desk"/>
    <n v="2"/>
    <n v="4695.3999999999996"/>
    <n v="981.76"/>
    <x v="0"/>
    <x v="4"/>
    <x v="6"/>
    <n v="2025"/>
    <s v="Q2"/>
    <n v="0.20908974741236105"/>
    <s v="MEDIUM"/>
    <n v="0.15"/>
  </r>
  <r>
    <n v="10473"/>
    <s v="26-Feb-2025"/>
    <x v="133"/>
    <x v="6"/>
    <s v="Maharashtra"/>
    <x v="1"/>
    <s v="Stationery"/>
    <s v="Pen"/>
    <n v="2"/>
    <n v="5265"/>
    <n v="1114.18"/>
    <x v="1"/>
    <x v="3"/>
    <x v="1"/>
    <n v="2025"/>
    <s v="Q1"/>
    <n v="0.21162013295346629"/>
    <s v="HIGH"/>
    <n v="0.1"/>
  </r>
  <r>
    <n v="10474"/>
    <s v="29-Mar-2025"/>
    <x v="177"/>
    <x v="1"/>
    <s v="Tamil Nadu"/>
    <x v="1"/>
    <s v="Stationery"/>
    <s v="Notebook"/>
    <n v="2"/>
    <n v="1128"/>
    <n v="309.61"/>
    <x v="2"/>
    <x v="2"/>
    <x v="8"/>
    <n v="2025"/>
    <s v="Q1"/>
    <n v="0.27447695035460995"/>
    <s v="MEDIUM"/>
    <n v="0"/>
  </r>
  <r>
    <n v="10475"/>
    <s v="28-May-2025"/>
    <x v="124"/>
    <x v="7"/>
    <s v="Delhi"/>
    <x v="2"/>
    <s v="Tables"/>
    <s v="Table"/>
    <n v="2"/>
    <n v="2894.4"/>
    <n v="723.94"/>
    <x v="1"/>
    <x v="2"/>
    <x v="6"/>
    <n v="2025"/>
    <s v="Q2"/>
    <n v="0.25011746821448316"/>
    <s v="MEDIUM"/>
    <n v="0.1"/>
  </r>
  <r>
    <n v="10476"/>
    <s v="03-Sep-2025"/>
    <x v="80"/>
    <x v="7"/>
    <s v="Delhi"/>
    <x v="0"/>
    <s v="Accessories"/>
    <s v="Mouse"/>
    <n v="6"/>
    <n v="10516.5"/>
    <n v="2305.25"/>
    <x v="4"/>
    <x v="3"/>
    <x v="3"/>
    <n v="2025"/>
    <s v="Q3"/>
    <n v="0.21920315694385015"/>
    <s v="HIGH"/>
    <n v="0.05"/>
  </r>
  <r>
    <n v="10477"/>
    <s v="09-Sep-2025"/>
    <x v="178"/>
    <x v="2"/>
    <s v="West Bengal"/>
    <x v="1"/>
    <s v="Stationery"/>
    <s v="Marker"/>
    <n v="3"/>
    <n v="3070.2"/>
    <n v="864.96"/>
    <x v="0"/>
    <x v="3"/>
    <x v="3"/>
    <n v="2025"/>
    <s v="Q3"/>
    <n v="0.2817275747508306"/>
    <s v="MEDIUM"/>
    <n v="0.15"/>
  </r>
  <r>
    <n v="10478"/>
    <s v="26-Jun-2025"/>
    <x v="143"/>
    <x v="2"/>
    <s v="West Bengal"/>
    <x v="2"/>
    <s v="Office"/>
    <s v="Desk"/>
    <n v="3"/>
    <n v="4899.1499999999996"/>
    <n v="519.82000000000005"/>
    <x v="4"/>
    <x v="3"/>
    <x v="11"/>
    <n v="2025"/>
    <s v="Q2"/>
    <n v="0.10610412010246677"/>
    <s v="MEDIUM"/>
    <n v="0.05"/>
  </r>
  <r>
    <n v="10479"/>
    <s v="14-Apr-2025"/>
    <x v="71"/>
    <x v="0"/>
    <s v="Maharashtra"/>
    <x v="2"/>
    <s v="Living Room"/>
    <s v="Sofa"/>
    <n v="3"/>
    <n v="8114.4"/>
    <n v="1121.3399999999999"/>
    <x v="3"/>
    <x v="4"/>
    <x v="4"/>
    <n v="2025"/>
    <s v="Q2"/>
    <n v="0.13819136350192252"/>
    <s v="HIGH"/>
    <n v="0.2"/>
  </r>
  <r>
    <n v="10480"/>
    <s v="05-Feb-2025"/>
    <x v="73"/>
    <x v="2"/>
    <s v="West Bengal"/>
    <x v="0"/>
    <s v="Audio"/>
    <s v="Headphones"/>
    <n v="4"/>
    <n v="18372"/>
    <n v="2057.5100000000002"/>
    <x v="2"/>
    <x v="2"/>
    <x v="1"/>
    <n v="2025"/>
    <s v="Q1"/>
    <n v="0.11199161767907687"/>
    <s v="HIGH"/>
    <n v="0"/>
  </r>
  <r>
    <n v="10481"/>
    <s v="14-Nov-2025"/>
    <x v="112"/>
    <x v="3"/>
    <s v="Gujarat"/>
    <x v="0"/>
    <s v="Audio"/>
    <s v="Headphones"/>
    <n v="6"/>
    <n v="2241.6"/>
    <n v="423.18"/>
    <x v="3"/>
    <x v="2"/>
    <x v="10"/>
    <n v="2025"/>
    <s v="Q4"/>
    <n v="0.18878479657387581"/>
    <s v="MEDIUM"/>
    <n v="0.2"/>
  </r>
  <r>
    <n v="10482"/>
    <s v="01-Feb-2025"/>
    <x v="29"/>
    <x v="5"/>
    <s v="Karnataka"/>
    <x v="1"/>
    <s v="Paper"/>
    <s v="Printer Paper"/>
    <n v="5"/>
    <n v="16252"/>
    <n v="3756.43"/>
    <x v="0"/>
    <x v="1"/>
    <x v="1"/>
    <n v="2025"/>
    <s v="Q1"/>
    <n v="0.23113647551070637"/>
    <s v="HIGH"/>
    <n v="0.15"/>
  </r>
  <r>
    <n v="10483"/>
    <s v="09-Nov-2025"/>
    <x v="179"/>
    <x v="4"/>
    <s v="Telangana"/>
    <x v="1"/>
    <s v="Paper"/>
    <s v="Printer Paper"/>
    <n v="1"/>
    <n v="713.15"/>
    <n v="176.38"/>
    <x v="0"/>
    <x v="4"/>
    <x v="10"/>
    <n v="2025"/>
    <s v="Q4"/>
    <n v="0.24732524714295731"/>
    <s v="LOW"/>
    <n v="0.15"/>
  </r>
  <r>
    <n v="10484"/>
    <s v="12-Dec-2025"/>
    <x v="29"/>
    <x v="3"/>
    <s v="Gujarat"/>
    <x v="1"/>
    <s v="Stationery"/>
    <s v="Marker"/>
    <n v="4"/>
    <n v="14857.6"/>
    <n v="3398.28"/>
    <x v="3"/>
    <x v="0"/>
    <x v="9"/>
    <n v="2025"/>
    <s v="Q4"/>
    <n v="0.22872334697393928"/>
    <s v="HIGH"/>
    <n v="0.2"/>
  </r>
  <r>
    <n v="10485"/>
    <s v="19-Feb-2025"/>
    <x v="97"/>
    <x v="2"/>
    <s v="West Bengal"/>
    <x v="1"/>
    <s v="Stationery"/>
    <s v="Notebook"/>
    <n v="5"/>
    <n v="15716.5"/>
    <n v="1351.45"/>
    <x v="0"/>
    <x v="2"/>
    <x v="1"/>
    <n v="2025"/>
    <s v="Q1"/>
    <n v="8.5989246969745178E-2"/>
    <s v="HIGH"/>
    <n v="0.15"/>
  </r>
  <r>
    <n v="10486"/>
    <s v="25-Jun-2025"/>
    <x v="30"/>
    <x v="6"/>
    <s v="Maharashtra"/>
    <x v="2"/>
    <s v="Tables"/>
    <s v="Table"/>
    <n v="4"/>
    <n v="9921.6"/>
    <n v="995.56"/>
    <x v="1"/>
    <x v="0"/>
    <x v="11"/>
    <n v="2025"/>
    <s v="Q2"/>
    <n v="0.10034268666344137"/>
    <s v="HIGH"/>
    <n v="0.1"/>
  </r>
  <r>
    <n v="10487"/>
    <s v="12-Aug-2025"/>
    <x v="40"/>
    <x v="5"/>
    <s v="Karnataka"/>
    <x v="1"/>
    <s v="Stationery"/>
    <s v="Pen"/>
    <n v="7"/>
    <n v="4295.8999999999996"/>
    <n v="815.35"/>
    <x v="4"/>
    <x v="1"/>
    <x v="5"/>
    <n v="2025"/>
    <s v="Q3"/>
    <n v="0.18979724853930494"/>
    <s v="MEDIUM"/>
    <n v="0.05"/>
  </r>
  <r>
    <n v="10488"/>
    <s v="15-Jan-2025"/>
    <x v="142"/>
    <x v="1"/>
    <s v="Tamil Nadu"/>
    <x v="0"/>
    <s v="Accessories"/>
    <s v="Keyboard"/>
    <n v="1"/>
    <n v="4097.3500000000004"/>
    <n v="654.4"/>
    <x v="4"/>
    <x v="1"/>
    <x v="0"/>
    <n v="2025"/>
    <s v="Q1"/>
    <n v="0.15971298522215577"/>
    <s v="MEDIUM"/>
    <n v="0.05"/>
  </r>
  <r>
    <n v="10489"/>
    <s v="09-Sep-2025"/>
    <x v="15"/>
    <x v="4"/>
    <s v="Telangana"/>
    <x v="1"/>
    <s v="Stationery"/>
    <s v="Pen"/>
    <n v="8"/>
    <n v="25984"/>
    <n v="2978.5"/>
    <x v="2"/>
    <x v="1"/>
    <x v="3"/>
    <n v="2025"/>
    <s v="Q3"/>
    <n v="0.11462823275862069"/>
    <s v="HIGH"/>
    <n v="0"/>
  </r>
  <r>
    <n v="10490"/>
    <s v="20-Feb-2025"/>
    <x v="78"/>
    <x v="0"/>
    <s v="Maharashtra"/>
    <x v="0"/>
    <s v="Accessories"/>
    <s v="Keyboard"/>
    <n v="4"/>
    <n v="14560"/>
    <n v="3019.59"/>
    <x v="3"/>
    <x v="0"/>
    <x v="1"/>
    <n v="2025"/>
    <s v="Q1"/>
    <n v="0.2073894230769231"/>
    <s v="HIGH"/>
    <n v="0.2"/>
  </r>
  <r>
    <n v="10491"/>
    <s v="15-Feb-2025"/>
    <x v="130"/>
    <x v="0"/>
    <s v="Maharashtra"/>
    <x v="1"/>
    <s v="Stationery"/>
    <s v="Pen"/>
    <n v="2"/>
    <n v="1771.4"/>
    <n v="277.2"/>
    <x v="0"/>
    <x v="0"/>
    <x v="1"/>
    <n v="2025"/>
    <s v="Q1"/>
    <n v="0.15648639494185387"/>
    <s v="MEDIUM"/>
    <n v="0.15"/>
  </r>
  <r>
    <n v="10492"/>
    <s v="18-Jun-2025"/>
    <x v="42"/>
    <x v="0"/>
    <s v="Maharashtra"/>
    <x v="2"/>
    <s v="Chairs"/>
    <s v="Chair"/>
    <n v="2"/>
    <n v="5385.6"/>
    <n v="650.77"/>
    <x v="1"/>
    <x v="0"/>
    <x v="11"/>
    <n v="2025"/>
    <s v="Q2"/>
    <n v="0.12083519013666072"/>
    <s v="HIGH"/>
    <n v="0.1"/>
  </r>
  <r>
    <n v="10493"/>
    <s v="13-Apr-2025"/>
    <x v="36"/>
    <x v="0"/>
    <s v="Maharashtra"/>
    <x v="0"/>
    <s v="Audio"/>
    <s v="Headphones"/>
    <n v="3"/>
    <n v="451.35"/>
    <n v="85.19"/>
    <x v="0"/>
    <x v="1"/>
    <x v="4"/>
    <n v="2025"/>
    <s v="Q2"/>
    <n v="0.1887448764816661"/>
    <s v="LOW"/>
    <n v="0.15"/>
  </r>
  <r>
    <n v="10494"/>
    <s v="13-Jul-2025"/>
    <x v="101"/>
    <x v="0"/>
    <s v="Maharashtra"/>
    <x v="1"/>
    <s v="Stationery"/>
    <s v="Pen"/>
    <n v="2"/>
    <n v="3972.6"/>
    <n v="1053.45"/>
    <x v="1"/>
    <x v="1"/>
    <x v="2"/>
    <n v="2025"/>
    <s v="Q3"/>
    <n v="0.26517897598550072"/>
    <s v="MEDIUM"/>
    <n v="0.1"/>
  </r>
  <r>
    <n v="10495"/>
    <s v="04-Aug-2025"/>
    <x v="180"/>
    <x v="4"/>
    <s v="Telangana"/>
    <x v="1"/>
    <s v="Stationery"/>
    <s v="Pen"/>
    <n v="8"/>
    <n v="6140.4"/>
    <n v="732.41"/>
    <x v="0"/>
    <x v="3"/>
    <x v="5"/>
    <n v="2025"/>
    <s v="Q3"/>
    <n v="0.11927724578203375"/>
    <s v="HIGH"/>
    <n v="0.15"/>
  </r>
  <r>
    <n v="10496"/>
    <s v="29-Apr-2025"/>
    <x v="131"/>
    <x v="2"/>
    <s v="West Bengal"/>
    <x v="0"/>
    <s v="Computers"/>
    <s v="Laptop"/>
    <n v="7"/>
    <n v="5346.6"/>
    <n v="1424.93"/>
    <x v="4"/>
    <x v="3"/>
    <x v="4"/>
    <n v="2025"/>
    <s v="Q2"/>
    <n v="0.26651142782328957"/>
    <s v="HIGH"/>
    <n v="0.05"/>
  </r>
  <r>
    <n v="10497"/>
    <s v="04-Nov-2025"/>
    <x v="149"/>
    <x v="2"/>
    <s v="West Bengal"/>
    <x v="0"/>
    <s v="Accessories"/>
    <s v="Mouse"/>
    <n v="7"/>
    <n v="11623.5"/>
    <n v="2650.43"/>
    <x v="1"/>
    <x v="3"/>
    <x v="10"/>
    <n v="2025"/>
    <s v="Q4"/>
    <n v="0.2280234008689293"/>
    <s v="HIGH"/>
    <n v="0.1"/>
  </r>
  <r>
    <n v="10498"/>
    <s v="27-Mar-2025"/>
    <x v="78"/>
    <x v="6"/>
    <s v="Maharashtra"/>
    <x v="1"/>
    <s v="Stationery"/>
    <s v="Notebook"/>
    <n v="3"/>
    <n v="5158.6499999999996"/>
    <n v="974.91"/>
    <x v="0"/>
    <x v="2"/>
    <x v="8"/>
    <n v="2025"/>
    <s v="Q1"/>
    <n v="0.1889854903899276"/>
    <s v="HIGH"/>
    <n v="0.15"/>
  </r>
  <r>
    <n v="10499"/>
    <s v="28-Feb-2025"/>
    <x v="35"/>
    <x v="3"/>
    <s v="Gujarat"/>
    <x v="1"/>
    <s v="Stationery"/>
    <s v="Pen"/>
    <n v="8"/>
    <n v="25568"/>
    <n v="5573.27"/>
    <x v="2"/>
    <x v="0"/>
    <x v="1"/>
    <n v="2025"/>
    <s v="Q1"/>
    <n v="0.21797833229036298"/>
    <s v="HIGH"/>
    <n v="0"/>
  </r>
  <r>
    <n v="10500"/>
    <s v="05-Oct-2025"/>
    <x v="140"/>
    <x v="3"/>
    <s v="Gujarat"/>
    <x v="2"/>
    <s v="Office"/>
    <s v="Desk"/>
    <n v="7"/>
    <n v="14553"/>
    <n v="3275.65"/>
    <x v="2"/>
    <x v="3"/>
    <x v="7"/>
    <n v="2025"/>
    <s v="Q4"/>
    <n v="0.22508417508417508"/>
    <s v="HIGH"/>
    <n v="0"/>
  </r>
  <r>
    <n v="10501"/>
    <s v="08-Dec-2025"/>
    <x v="19"/>
    <x v="0"/>
    <s v="Maharashtra"/>
    <x v="2"/>
    <s v="Tables"/>
    <s v="Table"/>
    <n v="4"/>
    <n v="2898"/>
    <n v="632.34"/>
    <x v="1"/>
    <x v="4"/>
    <x v="9"/>
    <n v="2025"/>
    <s v="Q4"/>
    <n v="0.21819875776397515"/>
    <s v="MEDIUM"/>
    <n v="0.1"/>
  </r>
  <r>
    <n v="10502"/>
    <s v="23-May-2025"/>
    <x v="162"/>
    <x v="4"/>
    <s v="Telangana"/>
    <x v="1"/>
    <s v="Stationery"/>
    <s v="Notebook"/>
    <n v="3"/>
    <n v="7494.45"/>
    <n v="2118.9"/>
    <x v="0"/>
    <x v="2"/>
    <x v="6"/>
    <n v="2025"/>
    <s v="Q2"/>
    <n v="0.28272921962252068"/>
    <s v="HIGH"/>
    <n v="0.15"/>
  </r>
  <r>
    <n v="10503"/>
    <s v="06-Oct-2025"/>
    <x v="43"/>
    <x v="1"/>
    <s v="Tamil Nadu"/>
    <x v="0"/>
    <s v="Computers"/>
    <s v="Laptop"/>
    <n v="4"/>
    <n v="18718.8"/>
    <n v="4878.9399999999996"/>
    <x v="4"/>
    <x v="1"/>
    <x v="7"/>
    <n v="2025"/>
    <s v="Q4"/>
    <n v="0.26064384469089896"/>
    <s v="HIGH"/>
    <n v="0.05"/>
  </r>
  <r>
    <n v="10504"/>
    <s v="01-Dec-2025"/>
    <x v="93"/>
    <x v="6"/>
    <s v="Maharashtra"/>
    <x v="2"/>
    <s v="Living Room"/>
    <s v="Sofa"/>
    <n v="8"/>
    <n v="20902.400000000001"/>
    <n v="5131.16"/>
    <x v="3"/>
    <x v="4"/>
    <x v="9"/>
    <n v="2025"/>
    <s v="Q4"/>
    <n v="0.24548185854255969"/>
    <s v="HIGH"/>
    <n v="0.2"/>
  </r>
  <r>
    <n v="10505"/>
    <s v="03-Mar-2025"/>
    <x v="91"/>
    <x v="5"/>
    <s v="Karnataka"/>
    <x v="1"/>
    <s v="Stationery"/>
    <s v="Pen"/>
    <n v="7"/>
    <n v="20767.95"/>
    <n v="4778.95"/>
    <x v="4"/>
    <x v="0"/>
    <x v="8"/>
    <n v="2025"/>
    <s v="Q1"/>
    <n v="0.23011178281919975"/>
    <s v="HIGH"/>
    <n v="0.05"/>
  </r>
  <r>
    <n v="10506"/>
    <s v="28-Nov-2025"/>
    <x v="143"/>
    <x v="4"/>
    <s v="Telangana"/>
    <x v="0"/>
    <s v="Accessories"/>
    <s v="Keyboard"/>
    <n v="8"/>
    <n v="14001.2"/>
    <n v="1667.53"/>
    <x v="0"/>
    <x v="1"/>
    <x v="10"/>
    <n v="2025"/>
    <s v="Q4"/>
    <n v="0.1190990772219524"/>
    <s v="HIGH"/>
    <n v="0.15"/>
  </r>
  <r>
    <n v="10507"/>
    <s v="06-Apr-2025"/>
    <x v="164"/>
    <x v="5"/>
    <s v="Karnataka"/>
    <x v="2"/>
    <s v="Chairs"/>
    <s v="Chair"/>
    <n v="6"/>
    <n v="20369.400000000001"/>
    <n v="5987.09"/>
    <x v="0"/>
    <x v="1"/>
    <x v="4"/>
    <n v="2025"/>
    <s v="Q2"/>
    <n v="0.29392569246025901"/>
    <s v="HIGH"/>
    <n v="0.15"/>
  </r>
  <r>
    <n v="10508"/>
    <s v="12-Jun-2025"/>
    <x v="181"/>
    <x v="5"/>
    <s v="Karnataka"/>
    <x v="1"/>
    <s v="Paper"/>
    <s v="Printer Paper"/>
    <n v="5"/>
    <n v="7868"/>
    <n v="2108.13"/>
    <x v="3"/>
    <x v="4"/>
    <x v="11"/>
    <n v="2025"/>
    <s v="Q2"/>
    <n v="0.2679372140315201"/>
    <s v="HIGH"/>
    <n v="0.2"/>
  </r>
  <r>
    <n v="10509"/>
    <s v="24-Nov-2025"/>
    <x v="80"/>
    <x v="7"/>
    <s v="Delhi"/>
    <x v="0"/>
    <s v="Accessories"/>
    <s v="Mouse"/>
    <n v="6"/>
    <n v="2510.4"/>
    <n v="361.13"/>
    <x v="3"/>
    <x v="4"/>
    <x v="10"/>
    <n v="2025"/>
    <s v="Q4"/>
    <n v="0.1438535691523263"/>
    <s v="MEDIUM"/>
    <n v="0.2"/>
  </r>
  <r>
    <n v="10510"/>
    <s v="14-Dec-2025"/>
    <x v="157"/>
    <x v="6"/>
    <s v="Maharashtra"/>
    <x v="2"/>
    <s v="Chairs"/>
    <s v="Chair"/>
    <n v="7"/>
    <n v="20742.400000000001"/>
    <n v="4240.3500000000004"/>
    <x v="3"/>
    <x v="3"/>
    <x v="9"/>
    <n v="2025"/>
    <s v="Q4"/>
    <n v="0.20442909210120333"/>
    <s v="HIGH"/>
    <n v="0.2"/>
  </r>
  <r>
    <n v="10511"/>
    <s v="31-Aug-2025"/>
    <x v="124"/>
    <x v="6"/>
    <s v="Maharashtra"/>
    <x v="2"/>
    <s v="Living Room"/>
    <s v="Sofa"/>
    <n v="3"/>
    <n v="9396.75"/>
    <n v="1052.5999999999999"/>
    <x v="0"/>
    <x v="2"/>
    <x v="5"/>
    <n v="2025"/>
    <s v="Q3"/>
    <n v="0.11201745284273817"/>
    <s v="HIGH"/>
    <n v="0.15"/>
  </r>
  <r>
    <n v="10512"/>
    <s v="28-Sep-2025"/>
    <x v="69"/>
    <x v="0"/>
    <s v="Maharashtra"/>
    <x v="0"/>
    <s v="Accessories"/>
    <s v="Keyboard"/>
    <n v="2"/>
    <n v="8886"/>
    <n v="2555.71"/>
    <x v="2"/>
    <x v="4"/>
    <x v="3"/>
    <n v="2025"/>
    <s v="Q3"/>
    <n v="0.2876108485257709"/>
    <s v="HIGH"/>
    <n v="0"/>
  </r>
  <r>
    <n v="10513"/>
    <s v="10-Dec-2025"/>
    <x v="4"/>
    <x v="0"/>
    <s v="Maharashtra"/>
    <x v="1"/>
    <s v="Stationery"/>
    <s v="Marker"/>
    <n v="2"/>
    <n v="4854"/>
    <n v="935.93"/>
    <x v="2"/>
    <x v="0"/>
    <x v="9"/>
    <n v="2025"/>
    <s v="Q4"/>
    <n v="0.19281623403378656"/>
    <s v="MEDIUM"/>
    <n v="0"/>
  </r>
  <r>
    <n v="10514"/>
    <s v="08-Dec-2025"/>
    <x v="180"/>
    <x v="4"/>
    <s v="Telangana"/>
    <x v="1"/>
    <s v="Stationery"/>
    <s v="Marker"/>
    <n v="2"/>
    <n v="958.8"/>
    <n v="147.6"/>
    <x v="0"/>
    <x v="0"/>
    <x v="9"/>
    <n v="2025"/>
    <s v="Q4"/>
    <n v="0.15394242803504379"/>
    <s v="LOW"/>
    <n v="0.15"/>
  </r>
  <r>
    <n v="10515"/>
    <s v="11-Mar-2025"/>
    <x v="55"/>
    <x v="6"/>
    <s v="Maharashtra"/>
    <x v="0"/>
    <s v="Accessories"/>
    <s v="Keyboard"/>
    <n v="8"/>
    <n v="33775.199999999997"/>
    <n v="9601.7199999999993"/>
    <x v="1"/>
    <x v="4"/>
    <x v="8"/>
    <n v="2025"/>
    <s v="Q1"/>
    <n v="0.28428314266088728"/>
    <s v="HIGH"/>
    <n v="0.1"/>
  </r>
  <r>
    <n v="10516"/>
    <s v="01-Feb-2025"/>
    <x v="85"/>
    <x v="0"/>
    <s v="Maharashtra"/>
    <x v="2"/>
    <s v="Office"/>
    <s v="Desk"/>
    <n v="6"/>
    <n v="1524"/>
    <n v="407.85"/>
    <x v="2"/>
    <x v="4"/>
    <x v="1"/>
    <n v="2025"/>
    <s v="Q1"/>
    <n v="0.26761811023622051"/>
    <s v="MEDIUM"/>
    <n v="0"/>
  </r>
  <r>
    <n v="10517"/>
    <s v="28-Nov-2025"/>
    <x v="100"/>
    <x v="1"/>
    <s v="Tamil Nadu"/>
    <x v="1"/>
    <s v="Stationery"/>
    <s v="Marker"/>
    <n v="1"/>
    <n v="1515"/>
    <n v="328.26"/>
    <x v="2"/>
    <x v="3"/>
    <x v="10"/>
    <n v="2025"/>
    <s v="Q4"/>
    <n v="0.21667326732673267"/>
    <s v="MEDIUM"/>
    <n v="0"/>
  </r>
  <r>
    <n v="10518"/>
    <s v="28-Dec-2025"/>
    <x v="56"/>
    <x v="5"/>
    <s v="Karnataka"/>
    <x v="0"/>
    <s v="Audio"/>
    <s v="Headphones"/>
    <n v="5"/>
    <n v="10999"/>
    <n v="2834.92"/>
    <x v="0"/>
    <x v="3"/>
    <x v="9"/>
    <n v="2025"/>
    <s v="Q4"/>
    <n v="0.25774343122102011"/>
    <s v="HIGH"/>
    <n v="0.15"/>
  </r>
  <r>
    <n v="10519"/>
    <s v="07-Feb-2025"/>
    <x v="182"/>
    <x v="7"/>
    <s v="Delhi"/>
    <x v="0"/>
    <s v="Accessories"/>
    <s v="Keyboard"/>
    <n v="4"/>
    <n v="7663.6"/>
    <n v="2167.6"/>
    <x v="0"/>
    <x v="0"/>
    <x v="1"/>
    <n v="2025"/>
    <s v="Q1"/>
    <n v="0.28284357221149325"/>
    <s v="HIGH"/>
    <n v="0.15"/>
  </r>
  <r>
    <n v="10520"/>
    <s v="24-May-2025"/>
    <x v="3"/>
    <x v="2"/>
    <s v="West Bengal"/>
    <x v="2"/>
    <s v="Chairs"/>
    <s v="Chair"/>
    <n v="6"/>
    <n v="9835.2000000000007"/>
    <n v="1642.32"/>
    <x v="3"/>
    <x v="2"/>
    <x v="6"/>
    <n v="2025"/>
    <s v="Q2"/>
    <n v="0.16698389458272325"/>
    <s v="HIGH"/>
    <n v="0.2"/>
  </r>
  <r>
    <n v="10521"/>
    <s v="22-Jun-2025"/>
    <x v="55"/>
    <x v="6"/>
    <s v="Maharashtra"/>
    <x v="0"/>
    <s v="Computers"/>
    <s v="Laptop"/>
    <n v="7"/>
    <n v="4036.55"/>
    <n v="362.29"/>
    <x v="4"/>
    <x v="1"/>
    <x v="11"/>
    <n v="2025"/>
    <s v="Q2"/>
    <n v="8.9752387558682534E-2"/>
    <s v="MEDIUM"/>
    <n v="0.05"/>
  </r>
  <r>
    <n v="10522"/>
    <s v="13-Sep-2025"/>
    <x v="183"/>
    <x v="6"/>
    <s v="Maharashtra"/>
    <x v="2"/>
    <s v="Living Room"/>
    <s v="Sofa"/>
    <n v="1"/>
    <n v="164.05"/>
    <n v="29.28"/>
    <x v="0"/>
    <x v="3"/>
    <x v="3"/>
    <n v="2025"/>
    <s v="Q3"/>
    <n v="0.17848217007010056"/>
    <s v="LOW"/>
    <n v="0.15"/>
  </r>
  <r>
    <n v="10523"/>
    <s v="15-Apr-2025"/>
    <x v="60"/>
    <x v="2"/>
    <s v="West Bengal"/>
    <x v="0"/>
    <s v="Computers"/>
    <s v="Laptop"/>
    <n v="5"/>
    <n v="19835"/>
    <n v="4335.58"/>
    <x v="2"/>
    <x v="2"/>
    <x v="4"/>
    <n v="2025"/>
    <s v="Q2"/>
    <n v="0.21858230400806655"/>
    <s v="HIGH"/>
    <n v="0"/>
  </r>
  <r>
    <n v="10524"/>
    <s v="25-Apr-2025"/>
    <x v="164"/>
    <x v="5"/>
    <s v="Karnataka"/>
    <x v="2"/>
    <s v="Living Room"/>
    <s v="Sofa"/>
    <n v="4"/>
    <n v="1648"/>
    <n v="314.27"/>
    <x v="3"/>
    <x v="0"/>
    <x v="4"/>
    <n v="2025"/>
    <s v="Q2"/>
    <n v="0.19069781553398057"/>
    <s v="MEDIUM"/>
    <n v="0.2"/>
  </r>
  <r>
    <n v="10525"/>
    <s v="24-Aug-2025"/>
    <x v="73"/>
    <x v="5"/>
    <s v="Karnataka"/>
    <x v="0"/>
    <s v="Accessories"/>
    <s v="Mouse"/>
    <n v="3"/>
    <n v="3121.2"/>
    <n v="342.67"/>
    <x v="0"/>
    <x v="0"/>
    <x v="5"/>
    <n v="2025"/>
    <s v="Q3"/>
    <n v="0.10978790208894017"/>
    <s v="MEDIUM"/>
    <n v="0.15"/>
  </r>
  <r>
    <n v="10526"/>
    <s v="11-Nov-2025"/>
    <x v="130"/>
    <x v="5"/>
    <s v="Karnataka"/>
    <x v="1"/>
    <s v="Stationery"/>
    <s v="Marker"/>
    <n v="5"/>
    <n v="6935"/>
    <n v="1105.83"/>
    <x v="4"/>
    <x v="4"/>
    <x v="10"/>
    <n v="2025"/>
    <s v="Q4"/>
    <n v="0.15945638067772169"/>
    <s v="HIGH"/>
    <n v="0.05"/>
  </r>
  <r>
    <n v="10527"/>
    <s v="22-Sep-2025"/>
    <x v="179"/>
    <x v="1"/>
    <s v="Tamil Nadu"/>
    <x v="1"/>
    <s v="Stationery"/>
    <s v="Pen"/>
    <n v="6"/>
    <n v="20946.599999999999"/>
    <n v="4736.55"/>
    <x v="1"/>
    <x v="4"/>
    <x v="3"/>
    <n v="2025"/>
    <s v="Q3"/>
    <n v="0.22612500358053339"/>
    <s v="HIGH"/>
    <n v="0.1"/>
  </r>
  <r>
    <n v="10528"/>
    <s v="19-Jul-2025"/>
    <x v="126"/>
    <x v="0"/>
    <s v="Maharashtra"/>
    <x v="1"/>
    <s v="Paper"/>
    <s v="Printer Paper"/>
    <n v="5"/>
    <n v="8144"/>
    <n v="1110.7"/>
    <x v="3"/>
    <x v="2"/>
    <x v="2"/>
    <n v="2025"/>
    <s v="Q3"/>
    <n v="0.13638261296660117"/>
    <s v="HIGH"/>
    <n v="0.2"/>
  </r>
  <r>
    <n v="10529"/>
    <s v="16-Oct-2025"/>
    <x v="93"/>
    <x v="7"/>
    <s v="Delhi"/>
    <x v="2"/>
    <s v="Tables"/>
    <s v="Table"/>
    <n v="7"/>
    <n v="5163.2"/>
    <n v="1025.96"/>
    <x v="3"/>
    <x v="1"/>
    <x v="7"/>
    <n v="2025"/>
    <s v="Q4"/>
    <n v="0.19870622869538274"/>
    <s v="HIGH"/>
    <n v="0.2"/>
  </r>
  <r>
    <n v="10530"/>
    <s v="04-Feb-2025"/>
    <x v="124"/>
    <x v="3"/>
    <s v="Gujarat"/>
    <x v="1"/>
    <s v="Stationery"/>
    <s v="Marker"/>
    <n v="5"/>
    <n v="524"/>
    <n v="84.07"/>
    <x v="3"/>
    <x v="3"/>
    <x v="1"/>
    <n v="2025"/>
    <s v="Q1"/>
    <n v="0.16043893129770992"/>
    <s v="LOW"/>
    <n v="0.2"/>
  </r>
  <r>
    <n v="10531"/>
    <s v="12-Apr-2025"/>
    <x v="76"/>
    <x v="7"/>
    <s v="Delhi"/>
    <x v="1"/>
    <s v="Stationery"/>
    <s v="Marker"/>
    <n v="4"/>
    <n v="15144"/>
    <n v="4337.25"/>
    <x v="2"/>
    <x v="2"/>
    <x v="4"/>
    <n v="2025"/>
    <s v="Q2"/>
    <n v="0.28640055467511888"/>
    <s v="HIGH"/>
    <n v="0"/>
  </r>
  <r>
    <n v="10532"/>
    <s v="11-Oct-2025"/>
    <x v="39"/>
    <x v="6"/>
    <s v="Maharashtra"/>
    <x v="1"/>
    <s v="Paper"/>
    <s v="Printer Paper"/>
    <n v="5"/>
    <n v="14845.25"/>
    <n v="2716.07"/>
    <x v="0"/>
    <x v="0"/>
    <x v="7"/>
    <n v="2025"/>
    <s v="Q4"/>
    <n v="0.18295885889425911"/>
    <s v="HIGH"/>
    <n v="0.15"/>
  </r>
  <r>
    <n v="10533"/>
    <s v="08-Aug-2025"/>
    <x v="136"/>
    <x v="0"/>
    <s v="Maharashtra"/>
    <x v="1"/>
    <s v="Stationery"/>
    <s v="Marker"/>
    <n v="6"/>
    <n v="3330"/>
    <n v="605.44000000000005"/>
    <x v="2"/>
    <x v="2"/>
    <x v="5"/>
    <n v="2025"/>
    <s v="Q3"/>
    <n v="0.18181381381381384"/>
    <s v="MEDIUM"/>
    <n v="0"/>
  </r>
  <r>
    <n v="10534"/>
    <s v="17-Nov-2025"/>
    <x v="174"/>
    <x v="6"/>
    <s v="Maharashtra"/>
    <x v="0"/>
    <s v="Accessories"/>
    <s v="Keyboard"/>
    <n v="8"/>
    <n v="17027.2"/>
    <n v="3419.62"/>
    <x v="0"/>
    <x v="4"/>
    <x v="10"/>
    <n v="2025"/>
    <s v="Q4"/>
    <n v="0.20083278519075359"/>
    <s v="HIGH"/>
    <n v="0.15"/>
  </r>
  <r>
    <n v="10535"/>
    <s v="25-Apr-2025"/>
    <x v="92"/>
    <x v="2"/>
    <s v="West Bengal"/>
    <x v="1"/>
    <s v="Paper"/>
    <s v="Printer Paper"/>
    <n v="2"/>
    <n v="8884.7999999999993"/>
    <n v="1200.05"/>
    <x v="1"/>
    <x v="2"/>
    <x v="4"/>
    <n v="2025"/>
    <s v="Q2"/>
    <n v="0.1350677561678372"/>
    <s v="HIGH"/>
    <n v="0.1"/>
  </r>
  <r>
    <n v="10536"/>
    <s v="17-Mar-2025"/>
    <x v="31"/>
    <x v="3"/>
    <s v="Gujarat"/>
    <x v="0"/>
    <s v="Computers"/>
    <s v="Laptop"/>
    <n v="4"/>
    <n v="10856.6"/>
    <n v="1048.81"/>
    <x v="4"/>
    <x v="4"/>
    <x v="8"/>
    <n v="2025"/>
    <s v="Q1"/>
    <n v="9.6605751340198581E-2"/>
    <s v="HIGH"/>
    <n v="0.05"/>
  </r>
  <r>
    <n v="10537"/>
    <s v="05-Feb-2025"/>
    <x v="136"/>
    <x v="2"/>
    <s v="West Bengal"/>
    <x v="2"/>
    <s v="Chairs"/>
    <s v="Chair"/>
    <n v="5"/>
    <n v="21865"/>
    <n v="5205.96"/>
    <x v="2"/>
    <x v="3"/>
    <x v="1"/>
    <n v="2025"/>
    <s v="Q1"/>
    <n v="0.23809558655385318"/>
    <s v="HIGH"/>
    <n v="0"/>
  </r>
  <r>
    <n v="10538"/>
    <s v="14-Jan-2025"/>
    <x v="138"/>
    <x v="3"/>
    <s v="Gujarat"/>
    <x v="2"/>
    <s v="Office"/>
    <s v="Desk"/>
    <n v="6"/>
    <n v="10995.6"/>
    <n v="2269.1"/>
    <x v="0"/>
    <x v="1"/>
    <x v="0"/>
    <n v="2025"/>
    <s v="Q1"/>
    <n v="0.20636436392738913"/>
    <s v="HIGH"/>
    <n v="0.15"/>
  </r>
  <r>
    <n v="10539"/>
    <s v="24-Mar-2025"/>
    <x v="11"/>
    <x v="6"/>
    <s v="Maharashtra"/>
    <x v="2"/>
    <s v="Chairs"/>
    <s v="Chair"/>
    <n v="7"/>
    <n v="18377.099999999999"/>
    <n v="5050.1000000000004"/>
    <x v="1"/>
    <x v="2"/>
    <x v="8"/>
    <n v="2025"/>
    <s v="Q1"/>
    <n v="0.27480396798189055"/>
    <s v="HIGH"/>
    <n v="0.1"/>
  </r>
  <r>
    <n v="10540"/>
    <s v="17-Jan-2025"/>
    <x v="164"/>
    <x v="7"/>
    <s v="Delhi"/>
    <x v="1"/>
    <s v="Stationery"/>
    <s v="Pen"/>
    <n v="6"/>
    <n v="7293"/>
    <n v="1861.44"/>
    <x v="0"/>
    <x v="1"/>
    <x v="0"/>
    <n v="2025"/>
    <s v="Q1"/>
    <n v="0.25523652817770465"/>
    <s v="HIGH"/>
    <n v="0.15"/>
  </r>
  <r>
    <n v="10541"/>
    <s v="05-Aug-2025"/>
    <x v="143"/>
    <x v="7"/>
    <s v="Delhi"/>
    <x v="0"/>
    <s v="Accessories"/>
    <s v="Mouse"/>
    <n v="4"/>
    <n v="12420.2"/>
    <n v="2991.88"/>
    <x v="0"/>
    <x v="2"/>
    <x v="5"/>
    <n v="2025"/>
    <s v="Q3"/>
    <n v="0.24088823046327756"/>
    <s v="HIGH"/>
    <n v="0.15"/>
  </r>
  <r>
    <n v="10542"/>
    <s v="25-Jul-2025"/>
    <x v="68"/>
    <x v="7"/>
    <s v="Delhi"/>
    <x v="0"/>
    <s v="Accessories"/>
    <s v="Keyboard"/>
    <n v="1"/>
    <n v="1253.05"/>
    <n v="202.1"/>
    <x v="4"/>
    <x v="3"/>
    <x v="2"/>
    <n v="2025"/>
    <s v="Q3"/>
    <n v="0.16128646103507441"/>
    <s v="MEDIUM"/>
    <n v="0.05"/>
  </r>
  <r>
    <n v="10543"/>
    <s v="31-Aug-2025"/>
    <x v="184"/>
    <x v="5"/>
    <s v="Karnataka"/>
    <x v="1"/>
    <s v="Stationery"/>
    <s v="Notebook"/>
    <n v="6"/>
    <n v="13530"/>
    <n v="3066.86"/>
    <x v="2"/>
    <x v="2"/>
    <x v="5"/>
    <n v="2025"/>
    <s v="Q3"/>
    <n v="0.22667110125646711"/>
    <s v="HIGH"/>
    <n v="0"/>
  </r>
  <r>
    <n v="10544"/>
    <s v="09-Apr-2025"/>
    <x v="124"/>
    <x v="6"/>
    <s v="Maharashtra"/>
    <x v="2"/>
    <s v="Chairs"/>
    <s v="Chair"/>
    <n v="4"/>
    <n v="10937.6"/>
    <n v="3229.39"/>
    <x v="3"/>
    <x v="3"/>
    <x v="4"/>
    <n v="2025"/>
    <s v="Q2"/>
    <n v="0.29525581480397889"/>
    <s v="HIGH"/>
    <n v="0.2"/>
  </r>
  <r>
    <n v="10545"/>
    <s v="20-Nov-2025"/>
    <x v="135"/>
    <x v="1"/>
    <s v="Tamil Nadu"/>
    <x v="2"/>
    <s v="Tables"/>
    <s v="Table"/>
    <n v="5"/>
    <n v="14930.25"/>
    <n v="1612.37"/>
    <x v="0"/>
    <x v="3"/>
    <x v="10"/>
    <n v="2025"/>
    <s v="Q4"/>
    <n v="0.10799350312285461"/>
    <s v="HIGH"/>
    <n v="0.15"/>
  </r>
  <r>
    <n v="10546"/>
    <s v="26-Oct-2025"/>
    <x v="115"/>
    <x v="4"/>
    <s v="Telangana"/>
    <x v="0"/>
    <s v="Accessories"/>
    <s v="Mouse"/>
    <n v="7"/>
    <n v="12946.5"/>
    <n v="1850.47"/>
    <x v="1"/>
    <x v="2"/>
    <x v="7"/>
    <n v="2025"/>
    <s v="Q4"/>
    <n v="0.14293206658170163"/>
    <s v="HIGH"/>
    <n v="0.1"/>
  </r>
  <r>
    <n v="10547"/>
    <s v="10-May-2025"/>
    <x v="50"/>
    <x v="5"/>
    <s v="Karnataka"/>
    <x v="2"/>
    <s v="Chairs"/>
    <s v="Chair"/>
    <n v="5"/>
    <n v="4563"/>
    <n v="1283.8"/>
    <x v="1"/>
    <x v="4"/>
    <x v="6"/>
    <n v="2025"/>
    <s v="Q2"/>
    <n v="0.28134998904229674"/>
    <s v="MEDIUM"/>
    <n v="0.1"/>
  </r>
  <r>
    <n v="10548"/>
    <s v="05-Oct-2025"/>
    <x v="26"/>
    <x v="4"/>
    <s v="Telangana"/>
    <x v="0"/>
    <s v="Audio"/>
    <s v="Headphones"/>
    <n v="3"/>
    <n v="4372.8"/>
    <n v="1063.97"/>
    <x v="3"/>
    <x v="3"/>
    <x v="7"/>
    <n v="2025"/>
    <s v="Q4"/>
    <n v="0.24331549579216977"/>
    <s v="MEDIUM"/>
    <n v="0.2"/>
  </r>
  <r>
    <n v="10549"/>
    <s v="17-May-2025"/>
    <x v="89"/>
    <x v="6"/>
    <s v="Maharashtra"/>
    <x v="1"/>
    <s v="Paper"/>
    <s v="Printer Paper"/>
    <n v="7"/>
    <n v="1946"/>
    <n v="368.13"/>
    <x v="2"/>
    <x v="0"/>
    <x v="6"/>
    <n v="2025"/>
    <s v="Q2"/>
    <n v="0.18917266187050361"/>
    <s v="MEDIUM"/>
    <n v="0"/>
  </r>
  <r>
    <n v="10550"/>
    <s v="01-Apr-2025"/>
    <x v="169"/>
    <x v="0"/>
    <s v="Maharashtra"/>
    <x v="2"/>
    <s v="Chairs"/>
    <s v="Chair"/>
    <n v="5"/>
    <n v="18665"/>
    <n v="4648.92"/>
    <x v="2"/>
    <x v="3"/>
    <x v="4"/>
    <n v="2025"/>
    <s v="Q2"/>
    <n v="0.249071524243236"/>
    <s v="HIGH"/>
    <n v="0"/>
  </r>
  <r>
    <n v="10551"/>
    <s v="24-Apr-2025"/>
    <x v="183"/>
    <x v="6"/>
    <s v="Maharashtra"/>
    <x v="0"/>
    <s v="Audio"/>
    <s v="Headphones"/>
    <n v="1"/>
    <n v="3877.9"/>
    <n v="539.95000000000005"/>
    <x v="4"/>
    <x v="2"/>
    <x v="4"/>
    <n v="2025"/>
    <s v="Q2"/>
    <n v="0.13923773176203616"/>
    <s v="MEDIUM"/>
    <n v="0.05"/>
  </r>
  <r>
    <n v="10552"/>
    <s v="16-Nov-2025"/>
    <x v="184"/>
    <x v="1"/>
    <s v="Tamil Nadu"/>
    <x v="0"/>
    <s v="Accessories"/>
    <s v="Mouse"/>
    <n v="7"/>
    <n v="29022"/>
    <n v="5452.79"/>
    <x v="2"/>
    <x v="1"/>
    <x v="10"/>
    <n v="2025"/>
    <s v="Q4"/>
    <n v="0.18788470815243608"/>
    <s v="HIGH"/>
    <n v="0"/>
  </r>
  <r>
    <n v="10553"/>
    <s v="12-Aug-2025"/>
    <x v="169"/>
    <x v="4"/>
    <s v="Telangana"/>
    <x v="1"/>
    <s v="Stationery"/>
    <s v="Pen"/>
    <n v="8"/>
    <n v="23788"/>
    <n v="2792.04"/>
    <x v="4"/>
    <x v="4"/>
    <x v="5"/>
    <n v="2025"/>
    <s v="Q3"/>
    <n v="0.11737178409281991"/>
    <s v="HIGH"/>
    <n v="0.05"/>
  </r>
  <r>
    <n v="10554"/>
    <s v="20-Jun-2025"/>
    <x v="15"/>
    <x v="7"/>
    <s v="Delhi"/>
    <x v="1"/>
    <s v="Paper"/>
    <s v="Printer Paper"/>
    <n v="6"/>
    <n v="19785.599999999999"/>
    <n v="4181.4799999999996"/>
    <x v="3"/>
    <x v="2"/>
    <x v="11"/>
    <n v="2025"/>
    <s v="Q2"/>
    <n v="0.21133956008410157"/>
    <s v="HIGH"/>
    <n v="0.2"/>
  </r>
  <r>
    <n v="10555"/>
    <s v="16-Nov-2025"/>
    <x v="16"/>
    <x v="0"/>
    <s v="Maharashtra"/>
    <x v="2"/>
    <s v="Office"/>
    <s v="Desk"/>
    <n v="3"/>
    <n v="1558.05"/>
    <n v="395.27"/>
    <x v="0"/>
    <x v="3"/>
    <x v="10"/>
    <n v="2025"/>
    <s v="Q4"/>
    <n v="0.25369532428355956"/>
    <s v="MEDIUM"/>
    <n v="0.15"/>
  </r>
  <r>
    <n v="10556"/>
    <s v="15-Jul-2025"/>
    <x v="29"/>
    <x v="2"/>
    <s v="West Bengal"/>
    <x v="1"/>
    <s v="Stationery"/>
    <s v="Marker"/>
    <n v="8"/>
    <n v="21652.400000000001"/>
    <n v="2920.33"/>
    <x v="4"/>
    <x v="2"/>
    <x v="2"/>
    <n v="2025"/>
    <s v="Q3"/>
    <n v="0.13487327039958619"/>
    <s v="HIGH"/>
    <n v="0.05"/>
  </r>
  <r>
    <n v="10557"/>
    <s v="23-Feb-2025"/>
    <x v="30"/>
    <x v="7"/>
    <s v="Delhi"/>
    <x v="2"/>
    <s v="Chairs"/>
    <s v="Chair"/>
    <n v="6"/>
    <n v="570"/>
    <n v="46.46"/>
    <x v="4"/>
    <x v="4"/>
    <x v="1"/>
    <n v="2025"/>
    <s v="Q1"/>
    <n v="8.1508771929824558E-2"/>
    <s v="LOW"/>
    <n v="0.05"/>
  </r>
  <r>
    <n v="10558"/>
    <s v="11-Apr-2025"/>
    <x v="56"/>
    <x v="5"/>
    <s v="Karnataka"/>
    <x v="1"/>
    <s v="Paper"/>
    <s v="Printer Paper"/>
    <n v="3"/>
    <n v="6934.05"/>
    <n v="1503.92"/>
    <x v="4"/>
    <x v="0"/>
    <x v="4"/>
    <n v="2025"/>
    <s v="Q2"/>
    <n v="0.21688911963426857"/>
    <s v="HIGH"/>
    <n v="0.05"/>
  </r>
  <r>
    <n v="10559"/>
    <s v="10-Jan-2025"/>
    <x v="165"/>
    <x v="4"/>
    <s v="Telangana"/>
    <x v="0"/>
    <s v="Accessories"/>
    <s v="Keyboard"/>
    <n v="7"/>
    <n v="14101.5"/>
    <n v="2944.38"/>
    <x v="0"/>
    <x v="4"/>
    <x v="0"/>
    <n v="2025"/>
    <s v="Q1"/>
    <n v="0.20879906392936923"/>
    <s v="HIGH"/>
    <n v="0.15"/>
  </r>
  <r>
    <n v="10560"/>
    <s v="05-Feb-2025"/>
    <x v="64"/>
    <x v="2"/>
    <s v="West Bengal"/>
    <x v="2"/>
    <s v="Tables"/>
    <s v="Table"/>
    <n v="3"/>
    <n v="5867.1"/>
    <n v="1159.44"/>
    <x v="1"/>
    <x v="1"/>
    <x v="1"/>
    <n v="2025"/>
    <s v="Q1"/>
    <n v="0.19761722145523342"/>
    <s v="HIGH"/>
    <n v="0.1"/>
  </r>
  <r>
    <n v="10561"/>
    <s v="10-May-2025"/>
    <x v="26"/>
    <x v="3"/>
    <s v="Gujarat"/>
    <x v="0"/>
    <s v="Accessories"/>
    <s v="Keyboard"/>
    <n v="2"/>
    <n v="3993.3"/>
    <n v="565.12"/>
    <x v="0"/>
    <x v="4"/>
    <x v="6"/>
    <n v="2025"/>
    <s v="Q2"/>
    <n v="0.14151704104374827"/>
    <s v="MEDIUM"/>
    <n v="0.15"/>
  </r>
  <r>
    <n v="10562"/>
    <s v="19-Jan-2025"/>
    <x v="111"/>
    <x v="0"/>
    <s v="Maharashtra"/>
    <x v="0"/>
    <s v="Audio"/>
    <s v="Headphones"/>
    <n v="2"/>
    <n v="6395.2"/>
    <n v="865.75"/>
    <x v="3"/>
    <x v="3"/>
    <x v="0"/>
    <n v="2025"/>
    <s v="Q1"/>
    <n v="0.13537496872654492"/>
    <s v="HIGH"/>
    <n v="0.2"/>
  </r>
  <r>
    <n v="10563"/>
    <s v="09-Oct-2025"/>
    <x v="44"/>
    <x v="3"/>
    <s v="Gujarat"/>
    <x v="1"/>
    <s v="Stationery"/>
    <s v="Notebook"/>
    <n v="2"/>
    <n v="2771"/>
    <n v="233.8"/>
    <x v="0"/>
    <x v="1"/>
    <x v="7"/>
    <n v="2025"/>
    <s v="Q4"/>
    <n v="8.4373872248285825E-2"/>
    <s v="MEDIUM"/>
    <n v="0.15"/>
  </r>
  <r>
    <n v="10564"/>
    <s v="28-Jan-2025"/>
    <x v="173"/>
    <x v="0"/>
    <s v="Maharashtra"/>
    <x v="0"/>
    <s v="Accessories"/>
    <s v="Keyboard"/>
    <n v="7"/>
    <n v="3129.7"/>
    <n v="423.45"/>
    <x v="0"/>
    <x v="1"/>
    <x v="0"/>
    <n v="2025"/>
    <s v="Q1"/>
    <n v="0.13530050803591398"/>
    <s v="MEDIUM"/>
    <n v="0.15"/>
  </r>
  <r>
    <n v="10565"/>
    <s v="10-Nov-2025"/>
    <x v="93"/>
    <x v="1"/>
    <s v="Tamil Nadu"/>
    <x v="2"/>
    <s v="Office"/>
    <s v="Desk"/>
    <n v="5"/>
    <n v="14972"/>
    <n v="2906.01"/>
    <x v="3"/>
    <x v="1"/>
    <x v="10"/>
    <n v="2025"/>
    <s v="Q4"/>
    <n v="0.19409631311781994"/>
    <s v="HIGH"/>
    <n v="0.2"/>
  </r>
  <r>
    <n v="10566"/>
    <s v="02-Jan-2025"/>
    <x v="138"/>
    <x v="5"/>
    <s v="Karnataka"/>
    <x v="1"/>
    <s v="Stationery"/>
    <s v="Notebook"/>
    <n v="2"/>
    <n v="4851.2"/>
    <n v="866.88"/>
    <x v="3"/>
    <x v="0"/>
    <x v="0"/>
    <n v="2025"/>
    <s v="Q1"/>
    <n v="0.17869393139841688"/>
    <s v="MEDIUM"/>
    <n v="0.2"/>
  </r>
  <r>
    <n v="10567"/>
    <s v="07-May-2025"/>
    <x v="160"/>
    <x v="4"/>
    <s v="Telangana"/>
    <x v="1"/>
    <s v="Stationery"/>
    <s v="Marker"/>
    <n v="4"/>
    <n v="16065"/>
    <n v="3752.12"/>
    <x v="0"/>
    <x v="4"/>
    <x v="6"/>
    <n v="2025"/>
    <s v="Q2"/>
    <n v="0.23355866791160909"/>
    <s v="HIGH"/>
    <n v="0.15"/>
  </r>
  <r>
    <n v="10568"/>
    <s v="23-Mar-2025"/>
    <x v="184"/>
    <x v="4"/>
    <s v="Telangana"/>
    <x v="0"/>
    <s v="Audio"/>
    <s v="Headphones"/>
    <n v="6"/>
    <n v="17069.400000000001"/>
    <n v="4914.58"/>
    <x v="1"/>
    <x v="1"/>
    <x v="8"/>
    <n v="2025"/>
    <s v="Q1"/>
    <n v="0.28791756007826869"/>
    <s v="HIGH"/>
    <n v="0.1"/>
  </r>
  <r>
    <n v="10569"/>
    <s v="23-Oct-2025"/>
    <x v="28"/>
    <x v="2"/>
    <s v="West Bengal"/>
    <x v="2"/>
    <s v="Tables"/>
    <s v="Table"/>
    <n v="5"/>
    <n v="19592"/>
    <n v="4049.74"/>
    <x v="3"/>
    <x v="0"/>
    <x v="7"/>
    <n v="2025"/>
    <s v="Q4"/>
    <n v="0.20670375663536136"/>
    <s v="HIGH"/>
    <n v="0.2"/>
  </r>
  <r>
    <n v="10570"/>
    <s v="04-Oct-2025"/>
    <x v="138"/>
    <x v="3"/>
    <s v="Gujarat"/>
    <x v="2"/>
    <s v="Living Room"/>
    <s v="Sofa"/>
    <n v="6"/>
    <n v="20251.2"/>
    <n v="4367.24"/>
    <x v="3"/>
    <x v="3"/>
    <x v="7"/>
    <n v="2025"/>
    <s v="Q4"/>
    <n v="0.21565339337915776"/>
    <s v="HIGH"/>
    <n v="0.2"/>
  </r>
  <r>
    <n v="10571"/>
    <s v="22-Feb-2025"/>
    <x v="101"/>
    <x v="2"/>
    <s v="West Bengal"/>
    <x v="0"/>
    <s v="Computers"/>
    <s v="Laptop"/>
    <n v="3"/>
    <n v="5198.3999999999996"/>
    <n v="1465.51"/>
    <x v="4"/>
    <x v="3"/>
    <x v="1"/>
    <n v="2025"/>
    <s v="Q1"/>
    <n v="0.2819155894121268"/>
    <s v="HIGH"/>
    <n v="0.05"/>
  </r>
  <r>
    <n v="10572"/>
    <s v="25-Jan-2025"/>
    <x v="0"/>
    <x v="1"/>
    <s v="Tamil Nadu"/>
    <x v="2"/>
    <s v="Living Room"/>
    <s v="Sofa"/>
    <n v="2"/>
    <n v="8789.4"/>
    <n v="1571.61"/>
    <x v="4"/>
    <x v="3"/>
    <x v="0"/>
    <n v="2025"/>
    <s v="Q1"/>
    <n v="0.17880742712813161"/>
    <s v="HIGH"/>
    <n v="0.05"/>
  </r>
  <r>
    <n v="10573"/>
    <s v="03-Feb-2025"/>
    <x v="130"/>
    <x v="2"/>
    <s v="West Bengal"/>
    <x v="2"/>
    <s v="Office"/>
    <s v="Desk"/>
    <n v="4"/>
    <n v="13988"/>
    <n v="3868.68"/>
    <x v="2"/>
    <x v="0"/>
    <x v="1"/>
    <n v="2025"/>
    <s v="Q1"/>
    <n v="0.27657134686874463"/>
    <s v="HIGH"/>
    <n v="0"/>
  </r>
  <r>
    <n v="10574"/>
    <s v="27-Dec-2025"/>
    <x v="164"/>
    <x v="7"/>
    <s v="Delhi"/>
    <x v="0"/>
    <s v="Audio"/>
    <s v="Headphones"/>
    <n v="7"/>
    <n v="21931.7"/>
    <n v="5956.93"/>
    <x v="4"/>
    <x v="4"/>
    <x v="9"/>
    <n v="2025"/>
    <s v="Q4"/>
    <n v="0.27161277967508218"/>
    <s v="HIGH"/>
    <n v="0.05"/>
  </r>
  <r>
    <n v="10575"/>
    <s v="16-Feb-2025"/>
    <x v="0"/>
    <x v="5"/>
    <s v="Karnataka"/>
    <x v="0"/>
    <s v="Computers"/>
    <s v="Laptop"/>
    <n v="1"/>
    <n v="1462.05"/>
    <n v="144.85"/>
    <x v="4"/>
    <x v="2"/>
    <x v="1"/>
    <n v="2025"/>
    <s v="Q1"/>
    <n v="9.9073219110153557E-2"/>
    <s v="MEDIUM"/>
    <n v="0.05"/>
  </r>
  <r>
    <n v="10576"/>
    <s v="14-Jun-2025"/>
    <x v="83"/>
    <x v="3"/>
    <s v="Gujarat"/>
    <x v="1"/>
    <s v="Stationery"/>
    <s v="Notebook"/>
    <n v="7"/>
    <n v="29346.45"/>
    <n v="5811.83"/>
    <x v="4"/>
    <x v="3"/>
    <x v="11"/>
    <n v="2025"/>
    <s v="Q2"/>
    <n v="0.19804201189581702"/>
    <s v="HIGH"/>
    <n v="0.05"/>
  </r>
  <r>
    <n v="10577"/>
    <s v="07-Apr-2025"/>
    <x v="102"/>
    <x v="1"/>
    <s v="Tamil Nadu"/>
    <x v="2"/>
    <s v="Office"/>
    <s v="Desk"/>
    <n v="7"/>
    <n v="32312.35"/>
    <n v="6881.3"/>
    <x v="4"/>
    <x v="2"/>
    <x v="4"/>
    <n v="2025"/>
    <s v="Q2"/>
    <n v="0.21296191703791276"/>
    <s v="HIGH"/>
    <n v="0.05"/>
  </r>
  <r>
    <n v="10578"/>
    <s v="03-Jul-2025"/>
    <x v="111"/>
    <x v="2"/>
    <s v="West Bengal"/>
    <x v="2"/>
    <s v="Chairs"/>
    <s v="Chair"/>
    <n v="7"/>
    <n v="34923"/>
    <n v="9301.4500000000007"/>
    <x v="2"/>
    <x v="1"/>
    <x v="2"/>
    <n v="2025"/>
    <s v="Q3"/>
    <n v="0.26634166595080611"/>
    <s v="HIGH"/>
    <n v="0"/>
  </r>
  <r>
    <n v="10579"/>
    <s v="14-Apr-2025"/>
    <x v="185"/>
    <x v="0"/>
    <s v="Maharashtra"/>
    <x v="1"/>
    <s v="Stationery"/>
    <s v="Marker"/>
    <n v="5"/>
    <n v="10635"/>
    <n v="979.47"/>
    <x v="2"/>
    <x v="4"/>
    <x v="4"/>
    <n v="2025"/>
    <s v="Q2"/>
    <n v="9.2098730606488016E-2"/>
    <s v="HIGH"/>
    <n v="0"/>
  </r>
  <r>
    <n v="10580"/>
    <s v="29-Mar-2025"/>
    <x v="186"/>
    <x v="6"/>
    <s v="Maharashtra"/>
    <x v="2"/>
    <s v="Living Room"/>
    <s v="Sofa"/>
    <n v="4"/>
    <n v="8544"/>
    <n v="1815.94"/>
    <x v="2"/>
    <x v="4"/>
    <x v="8"/>
    <n v="2025"/>
    <s v="Q1"/>
    <n v="0.21253979400749065"/>
    <s v="HIGH"/>
    <n v="0"/>
  </r>
  <r>
    <n v="10581"/>
    <s v="27-Jun-2025"/>
    <x v="134"/>
    <x v="6"/>
    <s v="Maharashtra"/>
    <x v="1"/>
    <s v="Paper"/>
    <s v="Printer Paper"/>
    <n v="5"/>
    <n v="9932.25"/>
    <n v="849.54"/>
    <x v="0"/>
    <x v="2"/>
    <x v="11"/>
    <n v="2025"/>
    <s v="Q2"/>
    <n v="8.5533489390621456E-2"/>
    <s v="HIGH"/>
    <n v="0.15"/>
  </r>
  <r>
    <n v="10582"/>
    <s v="25-Sep-2025"/>
    <x v="134"/>
    <x v="4"/>
    <s v="Telangana"/>
    <x v="2"/>
    <s v="Office"/>
    <s v="Desk"/>
    <n v="8"/>
    <n v="13544"/>
    <n v="1529.31"/>
    <x v="2"/>
    <x v="3"/>
    <x v="3"/>
    <n v="2025"/>
    <s v="Q3"/>
    <n v="0.11291420555227406"/>
    <s v="HIGH"/>
    <n v="0"/>
  </r>
  <r>
    <n v="10583"/>
    <s v="22-Dec-2025"/>
    <x v="187"/>
    <x v="6"/>
    <s v="Maharashtra"/>
    <x v="2"/>
    <s v="Chairs"/>
    <s v="Chair"/>
    <n v="2"/>
    <n v="5863.4"/>
    <n v="673.55"/>
    <x v="4"/>
    <x v="1"/>
    <x v="9"/>
    <n v="2025"/>
    <s v="Q4"/>
    <n v="0.11487362281270252"/>
    <s v="HIGH"/>
    <n v="0.05"/>
  </r>
  <r>
    <n v="10584"/>
    <s v="23-Feb-2025"/>
    <x v="117"/>
    <x v="1"/>
    <s v="Tamil Nadu"/>
    <x v="2"/>
    <s v="Office"/>
    <s v="Desk"/>
    <n v="7"/>
    <n v="5399.1"/>
    <n v="1031.22"/>
    <x v="1"/>
    <x v="0"/>
    <x v="1"/>
    <n v="2025"/>
    <s v="Q1"/>
    <n v="0.19099849974995831"/>
    <s v="HIGH"/>
    <n v="0.1"/>
  </r>
  <r>
    <n v="10585"/>
    <s v="13-Nov-2025"/>
    <x v="111"/>
    <x v="0"/>
    <s v="Maharashtra"/>
    <x v="0"/>
    <s v="Accessories"/>
    <s v="Keyboard"/>
    <n v="3"/>
    <n v="11010.6"/>
    <n v="1198.33"/>
    <x v="1"/>
    <x v="3"/>
    <x v="10"/>
    <n v="2025"/>
    <s v="Q4"/>
    <n v="0.10883421430258114"/>
    <s v="HIGH"/>
    <n v="0.1"/>
  </r>
  <r>
    <n v="10586"/>
    <s v="25-Jan-2025"/>
    <x v="146"/>
    <x v="2"/>
    <s v="West Bengal"/>
    <x v="0"/>
    <s v="Accessories"/>
    <s v="Keyboard"/>
    <n v="4"/>
    <n v="7404.8"/>
    <n v="611.58000000000004"/>
    <x v="3"/>
    <x v="4"/>
    <x v="0"/>
    <n v="2025"/>
    <s v="Q1"/>
    <n v="8.2592372515125329E-2"/>
    <s v="HIGH"/>
    <n v="0.2"/>
  </r>
  <r>
    <n v="10587"/>
    <s v="15-Feb-2025"/>
    <x v="179"/>
    <x v="3"/>
    <s v="Gujarat"/>
    <x v="2"/>
    <s v="Office"/>
    <s v="Desk"/>
    <n v="8"/>
    <n v="4508.3999999999996"/>
    <n v="820.62"/>
    <x v="0"/>
    <x v="3"/>
    <x v="1"/>
    <n v="2025"/>
    <s v="Q1"/>
    <n v="0.18202022890604208"/>
    <s v="MEDIUM"/>
    <n v="0.15"/>
  </r>
  <r>
    <n v="10588"/>
    <s v="03-Jul-2025"/>
    <x v="44"/>
    <x v="6"/>
    <s v="Maharashtra"/>
    <x v="1"/>
    <s v="Stationery"/>
    <s v="Marker"/>
    <n v="3"/>
    <n v="2656.8"/>
    <n v="352.57"/>
    <x v="3"/>
    <x v="1"/>
    <x v="2"/>
    <n v="2025"/>
    <s v="Q3"/>
    <n v="0.13270475760313158"/>
    <s v="MEDIUM"/>
    <n v="0.2"/>
  </r>
  <r>
    <n v="10589"/>
    <s v="04-Mar-2025"/>
    <x v="115"/>
    <x v="3"/>
    <s v="Gujarat"/>
    <x v="1"/>
    <s v="Stationery"/>
    <s v="Marker"/>
    <n v="3"/>
    <n v="10832.4"/>
    <n v="1297.6300000000001"/>
    <x v="1"/>
    <x v="0"/>
    <x v="8"/>
    <n v="2025"/>
    <s v="Q1"/>
    <n v="0.11979155127210961"/>
    <s v="HIGH"/>
    <n v="0.1"/>
  </r>
  <r>
    <n v="10590"/>
    <s v="09-Aug-2025"/>
    <x v="55"/>
    <x v="2"/>
    <s v="West Bengal"/>
    <x v="1"/>
    <s v="Stationery"/>
    <s v="Marker"/>
    <n v="5"/>
    <n v="18492"/>
    <n v="1863.99"/>
    <x v="3"/>
    <x v="0"/>
    <x v="5"/>
    <n v="2025"/>
    <s v="Q3"/>
    <n v="0.10079980532121999"/>
    <s v="HIGH"/>
    <n v="0.2"/>
  </r>
  <r>
    <n v="10591"/>
    <s v="29-Oct-2025"/>
    <x v="8"/>
    <x v="1"/>
    <s v="Tamil Nadu"/>
    <x v="0"/>
    <s v="Accessories"/>
    <s v="Keyboard"/>
    <n v="1"/>
    <n v="399"/>
    <n v="93.19"/>
    <x v="4"/>
    <x v="4"/>
    <x v="7"/>
    <n v="2025"/>
    <s v="Q4"/>
    <n v="0.23355889724310777"/>
    <s v="LOW"/>
    <n v="0.05"/>
  </r>
  <r>
    <n v="10592"/>
    <s v="06-Aug-2025"/>
    <x v="143"/>
    <x v="6"/>
    <s v="Maharashtra"/>
    <x v="1"/>
    <s v="Stationery"/>
    <s v="Notebook"/>
    <n v="6"/>
    <n v="4986"/>
    <n v="1221.5899999999999"/>
    <x v="2"/>
    <x v="2"/>
    <x v="5"/>
    <n v="2025"/>
    <s v="Q3"/>
    <n v="0.24500401123144805"/>
    <s v="MEDIUM"/>
    <n v="0"/>
  </r>
  <r>
    <n v="10593"/>
    <s v="31-Mar-2025"/>
    <x v="101"/>
    <x v="0"/>
    <s v="Maharashtra"/>
    <x v="0"/>
    <s v="Computers"/>
    <s v="Laptop"/>
    <n v="6"/>
    <n v="9132"/>
    <n v="1660.13"/>
    <x v="2"/>
    <x v="3"/>
    <x v="8"/>
    <n v="2025"/>
    <s v="Q1"/>
    <n v="0.18179259745948315"/>
    <s v="HIGH"/>
    <n v="0"/>
  </r>
  <r>
    <n v="10594"/>
    <s v="02-Jan-2025"/>
    <x v="32"/>
    <x v="3"/>
    <s v="Gujarat"/>
    <x v="0"/>
    <s v="Accessories"/>
    <s v="Mouse"/>
    <n v="8"/>
    <n v="15728"/>
    <n v="2459.14"/>
    <x v="2"/>
    <x v="3"/>
    <x v="0"/>
    <n v="2025"/>
    <s v="Q1"/>
    <n v="0.15635427263479146"/>
    <s v="HIGH"/>
    <n v="0"/>
  </r>
  <r>
    <n v="10595"/>
    <s v="10-Nov-2025"/>
    <x v="56"/>
    <x v="3"/>
    <s v="Gujarat"/>
    <x v="0"/>
    <s v="Audio"/>
    <s v="Headphones"/>
    <n v="7"/>
    <n v="23913.4"/>
    <n v="2861.2"/>
    <x v="4"/>
    <x v="3"/>
    <x v="10"/>
    <n v="2025"/>
    <s v="Q4"/>
    <n v="0.11964839796933935"/>
    <s v="HIGH"/>
    <n v="0.05"/>
  </r>
  <r>
    <n v="10596"/>
    <s v="29-Apr-2025"/>
    <x v="79"/>
    <x v="7"/>
    <s v="Delhi"/>
    <x v="2"/>
    <s v="Living Room"/>
    <s v="Sofa"/>
    <n v="7"/>
    <n v="6977.6"/>
    <n v="1835.71"/>
    <x v="3"/>
    <x v="3"/>
    <x v="4"/>
    <n v="2025"/>
    <s v="Q2"/>
    <n v="0.2630861614308645"/>
    <s v="HIGH"/>
    <n v="0.2"/>
  </r>
  <r>
    <n v="10597"/>
    <s v="06-Jun-2025"/>
    <x v="188"/>
    <x v="6"/>
    <s v="Maharashtra"/>
    <x v="2"/>
    <s v="Living Room"/>
    <s v="Sofa"/>
    <n v="3"/>
    <n v="11340.15"/>
    <n v="1444.38"/>
    <x v="4"/>
    <x v="4"/>
    <x v="11"/>
    <n v="2025"/>
    <s v="Q2"/>
    <n v="0.12736868559939685"/>
    <s v="HIGH"/>
    <n v="0.05"/>
  </r>
  <r>
    <n v="10598"/>
    <s v="01-Feb-2025"/>
    <x v="28"/>
    <x v="0"/>
    <s v="Maharashtra"/>
    <x v="2"/>
    <s v="Chairs"/>
    <s v="Chair"/>
    <n v="7"/>
    <n v="26684"/>
    <n v="4723.26"/>
    <x v="2"/>
    <x v="1"/>
    <x v="1"/>
    <n v="2025"/>
    <s v="Q1"/>
    <n v="0.17700719532304005"/>
    <s v="HIGH"/>
    <n v="0"/>
  </r>
  <r>
    <n v="10599"/>
    <s v="22-May-2025"/>
    <x v="107"/>
    <x v="5"/>
    <s v="Karnataka"/>
    <x v="0"/>
    <s v="Accessories"/>
    <s v="Mouse"/>
    <n v="5"/>
    <n v="8953.75"/>
    <n v="1725.45"/>
    <x v="4"/>
    <x v="4"/>
    <x v="6"/>
    <n v="2025"/>
    <s v="Q2"/>
    <n v="0.19270696635487924"/>
    <s v="HIGH"/>
    <n v="0.05"/>
  </r>
  <r>
    <n v="10600"/>
    <s v="17-Jul-2025"/>
    <x v="106"/>
    <x v="1"/>
    <s v="Tamil Nadu"/>
    <x v="0"/>
    <s v="Accessories"/>
    <s v="Mouse"/>
    <n v="3"/>
    <n v="2100.6"/>
    <n v="570.80999999999995"/>
    <x v="1"/>
    <x v="2"/>
    <x v="2"/>
    <n v="2025"/>
    <s v="Q3"/>
    <n v="0.27173664667237929"/>
    <s v="MEDIUM"/>
    <n v="0.1"/>
  </r>
  <r>
    <n v="10601"/>
    <s v="03-Feb-2025"/>
    <x v="3"/>
    <x v="4"/>
    <s v="Telangana"/>
    <x v="2"/>
    <s v="Office"/>
    <s v="Desk"/>
    <n v="4"/>
    <n v="3204"/>
    <n v="887.58"/>
    <x v="1"/>
    <x v="3"/>
    <x v="1"/>
    <n v="2025"/>
    <s v="Q1"/>
    <n v="0.27702247191011237"/>
    <s v="MEDIUM"/>
    <n v="0.1"/>
  </r>
  <r>
    <n v="10602"/>
    <s v="24-Jul-2025"/>
    <x v="62"/>
    <x v="3"/>
    <s v="Gujarat"/>
    <x v="2"/>
    <s v="Office"/>
    <s v="Desk"/>
    <n v="7"/>
    <n v="18487"/>
    <n v="3471.21"/>
    <x v="2"/>
    <x v="2"/>
    <x v="2"/>
    <n v="2025"/>
    <s v="Q3"/>
    <n v="0.18776491588683941"/>
    <s v="HIGH"/>
    <n v="0"/>
  </r>
  <r>
    <n v="10603"/>
    <s v="21-Feb-2025"/>
    <x v="22"/>
    <x v="3"/>
    <s v="Gujarat"/>
    <x v="2"/>
    <s v="Living Room"/>
    <s v="Sofa"/>
    <n v="2"/>
    <n v="589"/>
    <n v="161.59"/>
    <x v="4"/>
    <x v="4"/>
    <x v="1"/>
    <n v="2025"/>
    <s v="Q1"/>
    <n v="0.27434634974533106"/>
    <s v="LOW"/>
    <n v="0.05"/>
  </r>
  <r>
    <n v="10604"/>
    <s v="01-Jun-2025"/>
    <x v="137"/>
    <x v="6"/>
    <s v="Maharashtra"/>
    <x v="1"/>
    <s v="Stationery"/>
    <s v="Notebook"/>
    <n v="8"/>
    <n v="39664"/>
    <n v="10602"/>
    <x v="2"/>
    <x v="1"/>
    <x v="11"/>
    <n v="2025"/>
    <s v="Q2"/>
    <n v="0.26729528035498185"/>
    <s v="HIGH"/>
    <n v="0"/>
  </r>
  <r>
    <n v="10605"/>
    <s v="13-Dec-2025"/>
    <x v="122"/>
    <x v="6"/>
    <s v="Maharashtra"/>
    <x v="0"/>
    <s v="Accessories"/>
    <s v="Mouse"/>
    <n v="2"/>
    <n v="5445.1"/>
    <n v="1095.0899999999999"/>
    <x v="0"/>
    <x v="2"/>
    <x v="9"/>
    <n v="2025"/>
    <s v="Q4"/>
    <n v="0.20111476373253015"/>
    <s v="HIGH"/>
    <n v="0.15"/>
  </r>
  <r>
    <n v="10606"/>
    <s v="28-Jul-2025"/>
    <x v="73"/>
    <x v="3"/>
    <s v="Gujarat"/>
    <x v="2"/>
    <s v="Office"/>
    <s v="Desk"/>
    <n v="1"/>
    <n v="237.5"/>
    <n v="53.02"/>
    <x v="4"/>
    <x v="2"/>
    <x v="2"/>
    <n v="2025"/>
    <s v="Q3"/>
    <n v="0.22324210526315791"/>
    <s v="LOW"/>
    <n v="0.05"/>
  </r>
  <r>
    <n v="10607"/>
    <s v="20-Jun-2025"/>
    <x v="67"/>
    <x v="5"/>
    <s v="Karnataka"/>
    <x v="0"/>
    <s v="Audio"/>
    <s v="Headphones"/>
    <n v="1"/>
    <n v="823.65"/>
    <n v="163.72999999999999"/>
    <x v="4"/>
    <x v="1"/>
    <x v="11"/>
    <n v="2025"/>
    <s v="Q2"/>
    <n v="0.19878589206580463"/>
    <s v="LOW"/>
    <n v="0.05"/>
  </r>
  <r>
    <n v="10608"/>
    <s v="27-Jun-2025"/>
    <x v="18"/>
    <x v="3"/>
    <s v="Gujarat"/>
    <x v="2"/>
    <s v="Tables"/>
    <s v="Table"/>
    <n v="7"/>
    <n v="19378.8"/>
    <n v="3689.93"/>
    <x v="1"/>
    <x v="0"/>
    <x v="11"/>
    <n v="2025"/>
    <s v="Q2"/>
    <n v="0.1904106549425145"/>
    <s v="HIGH"/>
    <n v="0.1"/>
  </r>
  <r>
    <n v="10609"/>
    <s v="01-Dec-2025"/>
    <x v="48"/>
    <x v="0"/>
    <s v="Maharashtra"/>
    <x v="2"/>
    <s v="Office"/>
    <s v="Desk"/>
    <n v="3"/>
    <n v="11885.4"/>
    <n v="1161.76"/>
    <x v="1"/>
    <x v="4"/>
    <x v="9"/>
    <n v="2025"/>
    <s v="Q4"/>
    <n v="9.7746815420600069E-2"/>
    <s v="HIGH"/>
    <n v="0.1"/>
  </r>
  <r>
    <n v="10610"/>
    <s v="01-Sep-2025"/>
    <x v="63"/>
    <x v="7"/>
    <s v="Delhi"/>
    <x v="0"/>
    <s v="Audio"/>
    <s v="Headphones"/>
    <n v="8"/>
    <n v="14089.6"/>
    <n v="3532.79"/>
    <x v="0"/>
    <x v="4"/>
    <x v="3"/>
    <n v="2025"/>
    <s v="Q3"/>
    <n v="0.25073742334771748"/>
    <s v="HIGH"/>
    <n v="0.15"/>
  </r>
  <r>
    <n v="10611"/>
    <s v="14-Sep-2025"/>
    <x v="131"/>
    <x v="3"/>
    <s v="Gujarat"/>
    <x v="2"/>
    <s v="Tables"/>
    <s v="Table"/>
    <n v="5"/>
    <n v="16350"/>
    <n v="4108.91"/>
    <x v="2"/>
    <x v="3"/>
    <x v="3"/>
    <n v="2025"/>
    <s v="Q3"/>
    <n v="0.25130948012232412"/>
    <s v="HIGH"/>
    <n v="0"/>
  </r>
  <r>
    <n v="10612"/>
    <s v="29-Jan-2025"/>
    <x v="107"/>
    <x v="6"/>
    <s v="Maharashtra"/>
    <x v="1"/>
    <s v="Stationery"/>
    <s v="Marker"/>
    <n v="1"/>
    <n v="884.45"/>
    <n v="110.63"/>
    <x v="4"/>
    <x v="2"/>
    <x v="0"/>
    <n v="2025"/>
    <s v="Q1"/>
    <n v="0.12508338515461584"/>
    <s v="LOW"/>
    <n v="0.05"/>
  </r>
  <r>
    <n v="10613"/>
    <s v="08-Oct-2025"/>
    <x v="173"/>
    <x v="3"/>
    <s v="Gujarat"/>
    <x v="1"/>
    <s v="Stationery"/>
    <s v="Pen"/>
    <n v="7"/>
    <n v="21936.6"/>
    <n v="5899.36"/>
    <x v="1"/>
    <x v="2"/>
    <x v="7"/>
    <n v="2025"/>
    <s v="Q4"/>
    <n v="0.26892772808912957"/>
    <s v="HIGH"/>
    <n v="0.1"/>
  </r>
  <r>
    <n v="10614"/>
    <s v="18-Mar-2025"/>
    <x v="85"/>
    <x v="1"/>
    <s v="Tamil Nadu"/>
    <x v="1"/>
    <s v="Stationery"/>
    <s v="Notebook"/>
    <n v="7"/>
    <n v="12353.6"/>
    <n v="1750.02"/>
    <x v="3"/>
    <x v="3"/>
    <x v="8"/>
    <n v="2025"/>
    <s v="Q1"/>
    <n v="0.14166073047532701"/>
    <s v="HIGH"/>
    <n v="0.2"/>
  </r>
  <r>
    <n v="10615"/>
    <s v="25-Jun-2025"/>
    <x v="9"/>
    <x v="6"/>
    <s v="Maharashtra"/>
    <x v="2"/>
    <s v="Chairs"/>
    <s v="Chair"/>
    <n v="2"/>
    <n v="1489.2"/>
    <n v="402.24"/>
    <x v="0"/>
    <x v="4"/>
    <x v="11"/>
    <n v="2025"/>
    <s v="Q2"/>
    <n v="0.27010475423045932"/>
    <s v="MEDIUM"/>
    <n v="0.15"/>
  </r>
  <r>
    <n v="10616"/>
    <s v="14-Oct-2025"/>
    <x v="167"/>
    <x v="6"/>
    <s v="Maharashtra"/>
    <x v="0"/>
    <s v="Accessories"/>
    <s v="Mouse"/>
    <n v="4"/>
    <n v="15195.6"/>
    <n v="2878.38"/>
    <x v="1"/>
    <x v="0"/>
    <x v="7"/>
    <n v="2025"/>
    <s v="Q4"/>
    <n v="0.18942193792940062"/>
    <s v="HIGH"/>
    <n v="0.1"/>
  </r>
  <r>
    <n v="10617"/>
    <s v="30-Jan-2025"/>
    <x v="93"/>
    <x v="1"/>
    <s v="Tamil Nadu"/>
    <x v="2"/>
    <s v="Tables"/>
    <s v="Table"/>
    <n v="3"/>
    <n v="4983"/>
    <n v="1021.78"/>
    <x v="2"/>
    <x v="1"/>
    <x v="0"/>
    <n v="2025"/>
    <s v="Q1"/>
    <n v="0.20505318081477023"/>
    <s v="MEDIUM"/>
    <n v="0"/>
  </r>
  <r>
    <n v="10618"/>
    <s v="28-Nov-2025"/>
    <x v="170"/>
    <x v="1"/>
    <s v="Tamil Nadu"/>
    <x v="1"/>
    <s v="Stationery"/>
    <s v="Pen"/>
    <n v="3"/>
    <n v="5811.15"/>
    <n v="662.6"/>
    <x v="4"/>
    <x v="4"/>
    <x v="10"/>
    <n v="2025"/>
    <s v="Q4"/>
    <n v="0.11402218149591735"/>
    <s v="HIGH"/>
    <n v="0.05"/>
  </r>
  <r>
    <n v="10619"/>
    <s v="01-Dec-2025"/>
    <x v="174"/>
    <x v="2"/>
    <s v="West Bengal"/>
    <x v="2"/>
    <s v="Living Room"/>
    <s v="Sofa"/>
    <n v="5"/>
    <n v="1525"/>
    <n v="373.21"/>
    <x v="2"/>
    <x v="4"/>
    <x v="9"/>
    <n v="2025"/>
    <s v="Q4"/>
    <n v="0.24472786885245901"/>
    <s v="MEDIUM"/>
    <n v="0"/>
  </r>
  <r>
    <n v="10620"/>
    <s v="05-Aug-2025"/>
    <x v="164"/>
    <x v="2"/>
    <s v="West Bengal"/>
    <x v="2"/>
    <s v="Living Room"/>
    <s v="Sofa"/>
    <n v="3"/>
    <n v="7908"/>
    <n v="1395.88"/>
    <x v="3"/>
    <x v="1"/>
    <x v="5"/>
    <n v="2025"/>
    <s v="Q3"/>
    <n v="0.17651492159838139"/>
    <s v="HIGH"/>
    <n v="0.2"/>
  </r>
  <r>
    <n v="10621"/>
    <s v="17-Aug-2025"/>
    <x v="39"/>
    <x v="7"/>
    <s v="Delhi"/>
    <x v="0"/>
    <s v="Computers"/>
    <s v="Laptop"/>
    <n v="4"/>
    <n v="5933"/>
    <n v="1509.41"/>
    <x v="0"/>
    <x v="4"/>
    <x v="5"/>
    <n v="2025"/>
    <s v="Q3"/>
    <n v="0.25440923647395924"/>
    <s v="HIGH"/>
    <n v="0.15"/>
  </r>
  <r>
    <n v="10622"/>
    <s v="16-Jul-2025"/>
    <x v="179"/>
    <x v="6"/>
    <s v="Maharashtra"/>
    <x v="2"/>
    <s v="Chairs"/>
    <s v="Chair"/>
    <n v="6"/>
    <n v="12910.5"/>
    <n v="1096.75"/>
    <x v="4"/>
    <x v="3"/>
    <x v="2"/>
    <n v="2025"/>
    <s v="Q3"/>
    <n v="8.4950234305410322E-2"/>
    <s v="HIGH"/>
    <n v="0.05"/>
  </r>
  <r>
    <n v="10623"/>
    <s v="05-Feb-2025"/>
    <x v="7"/>
    <x v="0"/>
    <s v="Maharashtra"/>
    <x v="2"/>
    <s v="Chairs"/>
    <s v="Chair"/>
    <n v="3"/>
    <n v="6705.6"/>
    <n v="1950.91"/>
    <x v="3"/>
    <x v="0"/>
    <x v="1"/>
    <n v="2025"/>
    <s v="Q1"/>
    <n v="0.29093742543545692"/>
    <s v="HIGH"/>
    <n v="0.2"/>
  </r>
  <r>
    <n v="10624"/>
    <s v="18-Mar-2025"/>
    <x v="95"/>
    <x v="6"/>
    <s v="Maharashtra"/>
    <x v="2"/>
    <s v="Chairs"/>
    <s v="Chair"/>
    <n v="8"/>
    <n v="32080"/>
    <n v="3347.75"/>
    <x v="2"/>
    <x v="2"/>
    <x v="8"/>
    <n v="2025"/>
    <s v="Q1"/>
    <n v="0.10435629675810473"/>
    <s v="HIGH"/>
    <n v="0"/>
  </r>
  <r>
    <n v="10625"/>
    <s v="09-Apr-2025"/>
    <x v="98"/>
    <x v="2"/>
    <s v="West Bengal"/>
    <x v="2"/>
    <s v="Tables"/>
    <s v="Table"/>
    <n v="1"/>
    <n v="1365.1"/>
    <n v="341.46"/>
    <x v="0"/>
    <x v="2"/>
    <x v="4"/>
    <n v="2025"/>
    <s v="Q2"/>
    <n v="0.25013552120723759"/>
    <s v="MEDIUM"/>
    <n v="0.15"/>
  </r>
  <r>
    <n v="10626"/>
    <s v="08-Jul-2025"/>
    <x v="161"/>
    <x v="1"/>
    <s v="Tamil Nadu"/>
    <x v="2"/>
    <s v="Office"/>
    <s v="Desk"/>
    <n v="1"/>
    <n v="3343.05"/>
    <n v="962.85"/>
    <x v="4"/>
    <x v="1"/>
    <x v="2"/>
    <n v="2025"/>
    <s v="Q3"/>
    <n v="0.2880154350069547"/>
    <s v="MEDIUM"/>
    <n v="0.05"/>
  </r>
  <r>
    <n v="10627"/>
    <s v="16-Oct-2025"/>
    <x v="144"/>
    <x v="3"/>
    <s v="Gujarat"/>
    <x v="1"/>
    <s v="Stationery"/>
    <s v="Notebook"/>
    <n v="8"/>
    <n v="19225.599999999999"/>
    <n v="2027.1"/>
    <x v="3"/>
    <x v="2"/>
    <x v="7"/>
    <n v="2025"/>
    <s v="Q4"/>
    <n v="0.10543754161118508"/>
    <s v="HIGH"/>
    <n v="0.2"/>
  </r>
  <r>
    <n v="10628"/>
    <s v="27-Feb-2025"/>
    <x v="123"/>
    <x v="2"/>
    <s v="West Bengal"/>
    <x v="1"/>
    <s v="Stationery"/>
    <s v="Marker"/>
    <n v="4"/>
    <n v="1193.2"/>
    <n v="311.72000000000003"/>
    <x v="4"/>
    <x v="2"/>
    <x v="1"/>
    <n v="2025"/>
    <s v="Q1"/>
    <n v="0.26124706671136438"/>
    <s v="MEDIUM"/>
    <n v="0.05"/>
  </r>
  <r>
    <n v="10629"/>
    <s v="07-Apr-2025"/>
    <x v="69"/>
    <x v="1"/>
    <s v="Tamil Nadu"/>
    <x v="2"/>
    <s v="Tables"/>
    <s v="Table"/>
    <n v="5"/>
    <n v="3078"/>
    <n v="882.54"/>
    <x v="4"/>
    <x v="0"/>
    <x v="4"/>
    <n v="2025"/>
    <s v="Q2"/>
    <n v="0.28672514619883038"/>
    <s v="MEDIUM"/>
    <n v="0.05"/>
  </r>
  <r>
    <n v="10630"/>
    <s v="21-Sep-2025"/>
    <x v="148"/>
    <x v="5"/>
    <s v="Karnataka"/>
    <x v="0"/>
    <s v="Accessories"/>
    <s v="Mouse"/>
    <n v="6"/>
    <n v="16584"/>
    <n v="2635.03"/>
    <x v="3"/>
    <x v="4"/>
    <x v="3"/>
    <n v="2025"/>
    <s v="Q3"/>
    <n v="0.15888989387361313"/>
    <s v="HIGH"/>
    <n v="0.2"/>
  </r>
  <r>
    <n v="10631"/>
    <s v="02-Mar-2025"/>
    <x v="149"/>
    <x v="6"/>
    <s v="Maharashtra"/>
    <x v="2"/>
    <s v="Office"/>
    <s v="Desk"/>
    <n v="3"/>
    <n v="10850.25"/>
    <n v="1569.67"/>
    <x v="0"/>
    <x v="4"/>
    <x v="8"/>
    <n v="2025"/>
    <s v="Q1"/>
    <n v="0.14466671274855419"/>
    <s v="HIGH"/>
    <n v="0.15"/>
  </r>
  <r>
    <n v="10632"/>
    <s v="09-Jul-2025"/>
    <x v="81"/>
    <x v="3"/>
    <s v="Gujarat"/>
    <x v="0"/>
    <s v="Accessories"/>
    <s v="Mouse"/>
    <n v="4"/>
    <n v="6870.4"/>
    <n v="559.74"/>
    <x v="3"/>
    <x v="4"/>
    <x v="2"/>
    <n v="2025"/>
    <s v="Q3"/>
    <n v="8.1471238938053109E-2"/>
    <s v="HIGH"/>
    <n v="0.2"/>
  </r>
  <r>
    <n v="10633"/>
    <s v="02-May-2025"/>
    <x v="151"/>
    <x v="4"/>
    <s v="Telangana"/>
    <x v="0"/>
    <s v="Accessories"/>
    <s v="Mouse"/>
    <n v="6"/>
    <n v="3465.6"/>
    <n v="482.02"/>
    <x v="3"/>
    <x v="0"/>
    <x v="6"/>
    <n v="2025"/>
    <s v="Q2"/>
    <n v="0.13908702677746998"/>
    <s v="MEDIUM"/>
    <n v="0.2"/>
  </r>
  <r>
    <n v="10634"/>
    <s v="12-Mar-2025"/>
    <x v="126"/>
    <x v="3"/>
    <s v="Gujarat"/>
    <x v="0"/>
    <s v="Accessories"/>
    <s v="Mouse"/>
    <n v="4"/>
    <n v="10476.799999999999"/>
    <n v="1924.6"/>
    <x v="3"/>
    <x v="0"/>
    <x v="8"/>
    <n v="2025"/>
    <s v="Q1"/>
    <n v="0.18370113011606598"/>
    <s v="HIGH"/>
    <n v="0.2"/>
  </r>
  <r>
    <n v="10635"/>
    <s v="17-Feb-2025"/>
    <x v="77"/>
    <x v="5"/>
    <s v="Karnataka"/>
    <x v="1"/>
    <s v="Stationery"/>
    <s v="Notebook"/>
    <n v="8"/>
    <n v="28328.799999999999"/>
    <n v="6110.56"/>
    <x v="0"/>
    <x v="0"/>
    <x v="1"/>
    <n v="2025"/>
    <s v="Q1"/>
    <n v="0.21570133574313069"/>
    <s v="HIGH"/>
    <n v="0.15"/>
  </r>
  <r>
    <n v="10636"/>
    <s v="07-Oct-2025"/>
    <x v="3"/>
    <x v="6"/>
    <s v="Maharashtra"/>
    <x v="0"/>
    <s v="Computers"/>
    <s v="Laptop"/>
    <n v="7"/>
    <n v="17822.7"/>
    <n v="4022.47"/>
    <x v="1"/>
    <x v="3"/>
    <x v="7"/>
    <n v="2025"/>
    <s v="Q4"/>
    <n v="0.22569363788875982"/>
    <s v="HIGH"/>
    <n v="0.1"/>
  </r>
  <r>
    <n v="10637"/>
    <s v="22-May-2025"/>
    <x v="56"/>
    <x v="7"/>
    <s v="Delhi"/>
    <x v="1"/>
    <s v="Stationery"/>
    <s v="Marker"/>
    <n v="5"/>
    <n v="4908"/>
    <n v="1032.32"/>
    <x v="3"/>
    <x v="4"/>
    <x v="6"/>
    <n v="2025"/>
    <s v="Q2"/>
    <n v="0.21033414832925834"/>
    <s v="MEDIUM"/>
    <n v="0.2"/>
  </r>
  <r>
    <n v="10638"/>
    <s v="06-Jul-2025"/>
    <x v="93"/>
    <x v="7"/>
    <s v="Delhi"/>
    <x v="1"/>
    <s v="Stationery"/>
    <s v="Marker"/>
    <n v="2"/>
    <n v="785.4"/>
    <n v="74.78"/>
    <x v="0"/>
    <x v="3"/>
    <x v="2"/>
    <n v="2025"/>
    <s v="Q3"/>
    <n v="9.5212630506748164E-2"/>
    <s v="LOW"/>
    <n v="0.15"/>
  </r>
  <r>
    <n v="10639"/>
    <s v="17-Mar-2025"/>
    <x v="16"/>
    <x v="5"/>
    <s v="Karnataka"/>
    <x v="1"/>
    <s v="Stationery"/>
    <s v="Marker"/>
    <n v="2"/>
    <n v="7510.7"/>
    <n v="1738.57"/>
    <x v="4"/>
    <x v="3"/>
    <x v="8"/>
    <n v="2025"/>
    <s v="Q1"/>
    <n v="0.2314790898318399"/>
    <s v="HIGH"/>
    <n v="0.05"/>
  </r>
  <r>
    <n v="10640"/>
    <s v="08-Jan-2025"/>
    <x v="28"/>
    <x v="5"/>
    <s v="Karnataka"/>
    <x v="1"/>
    <s v="Stationery"/>
    <s v="Notebook"/>
    <n v="3"/>
    <n v="4839.8999999999996"/>
    <n v="1281.28"/>
    <x v="0"/>
    <x v="2"/>
    <x v="0"/>
    <n v="2025"/>
    <s v="Q1"/>
    <n v="0.26473274241203332"/>
    <s v="MEDIUM"/>
    <n v="0.15"/>
  </r>
  <r>
    <n v="10641"/>
    <s v="08-Dec-2025"/>
    <x v="31"/>
    <x v="5"/>
    <s v="Karnataka"/>
    <x v="0"/>
    <s v="Accessories"/>
    <s v="Keyboard"/>
    <n v="5"/>
    <n v="8433"/>
    <n v="1945.82"/>
    <x v="1"/>
    <x v="0"/>
    <x v="9"/>
    <n v="2025"/>
    <s v="Q4"/>
    <n v="0.23073876437803864"/>
    <s v="HIGH"/>
    <n v="0.1"/>
  </r>
  <r>
    <n v="10642"/>
    <s v="16-Jan-2025"/>
    <x v="134"/>
    <x v="5"/>
    <s v="Karnataka"/>
    <x v="2"/>
    <s v="Tables"/>
    <s v="Table"/>
    <n v="1"/>
    <n v="1419.2"/>
    <n v="136.29"/>
    <x v="3"/>
    <x v="4"/>
    <x v="0"/>
    <n v="2025"/>
    <s v="Q1"/>
    <n v="9.6032976324689961E-2"/>
    <s v="MEDIUM"/>
    <n v="0.2"/>
  </r>
  <r>
    <n v="10643"/>
    <s v="23-Sep-2025"/>
    <x v="62"/>
    <x v="3"/>
    <s v="Gujarat"/>
    <x v="2"/>
    <s v="Chairs"/>
    <s v="Chair"/>
    <n v="6"/>
    <n v="14500.8"/>
    <n v="3206.03"/>
    <x v="3"/>
    <x v="0"/>
    <x v="3"/>
    <n v="2025"/>
    <s v="Q3"/>
    <n v="0.22109331898929716"/>
    <s v="HIGH"/>
    <n v="0.2"/>
  </r>
  <r>
    <n v="10644"/>
    <s v="12-Nov-2025"/>
    <x v="162"/>
    <x v="0"/>
    <s v="Maharashtra"/>
    <x v="0"/>
    <s v="Computers"/>
    <s v="Laptop"/>
    <n v="3"/>
    <n v="6331.2"/>
    <n v="1419.14"/>
    <x v="3"/>
    <x v="1"/>
    <x v="10"/>
    <n v="2025"/>
    <s v="Q4"/>
    <n v="0.22415024008086937"/>
    <s v="HIGH"/>
    <n v="0.2"/>
  </r>
  <r>
    <n v="10645"/>
    <s v="11-Nov-2025"/>
    <x v="168"/>
    <x v="1"/>
    <s v="Tamil Nadu"/>
    <x v="1"/>
    <s v="Stationery"/>
    <s v="Notebook"/>
    <n v="3"/>
    <n v="2812.65"/>
    <n v="524.54999999999995"/>
    <x v="0"/>
    <x v="1"/>
    <x v="10"/>
    <n v="2025"/>
    <s v="Q4"/>
    <n v="0.18649672017492397"/>
    <s v="MEDIUM"/>
    <n v="0.15"/>
  </r>
  <r>
    <n v="10646"/>
    <s v="07-May-2025"/>
    <x v="73"/>
    <x v="0"/>
    <s v="Maharashtra"/>
    <x v="1"/>
    <s v="Paper"/>
    <s v="Printer Paper"/>
    <n v="2"/>
    <n v="1826"/>
    <n v="518.78"/>
    <x v="2"/>
    <x v="0"/>
    <x v="6"/>
    <n v="2025"/>
    <s v="Q2"/>
    <n v="0.28410733844468783"/>
    <s v="MEDIUM"/>
    <n v="0"/>
  </r>
  <r>
    <n v="10647"/>
    <s v="29-Jul-2025"/>
    <x v="111"/>
    <x v="2"/>
    <s v="West Bengal"/>
    <x v="1"/>
    <s v="Stationery"/>
    <s v="Pen"/>
    <n v="6"/>
    <n v="25929.3"/>
    <n v="3425.67"/>
    <x v="4"/>
    <x v="3"/>
    <x v="2"/>
    <n v="2025"/>
    <s v="Q3"/>
    <n v="0.13211579178766877"/>
    <s v="HIGH"/>
    <n v="0.05"/>
  </r>
  <r>
    <n v="10648"/>
    <s v="05-Dec-2025"/>
    <x v="91"/>
    <x v="2"/>
    <s v="West Bengal"/>
    <x v="0"/>
    <s v="Computers"/>
    <s v="Laptop"/>
    <n v="8"/>
    <n v="26955.200000000001"/>
    <n v="6423.84"/>
    <x v="0"/>
    <x v="1"/>
    <x v="9"/>
    <n v="2025"/>
    <s v="Q4"/>
    <n v="0.23831542707900516"/>
    <s v="HIGH"/>
    <n v="0.15"/>
  </r>
  <r>
    <n v="10649"/>
    <s v="22-Feb-2025"/>
    <x v="136"/>
    <x v="2"/>
    <s v="West Bengal"/>
    <x v="1"/>
    <s v="Paper"/>
    <s v="Printer Paper"/>
    <n v="4"/>
    <n v="4627.3999999999996"/>
    <n v="375.92"/>
    <x v="0"/>
    <x v="2"/>
    <x v="1"/>
    <n v="2025"/>
    <s v="Q1"/>
    <n v="8.1237844145740604E-2"/>
    <s v="MEDIUM"/>
    <n v="0.15"/>
  </r>
  <r>
    <n v="10650"/>
    <s v="17-May-2025"/>
    <x v="66"/>
    <x v="1"/>
    <s v="Tamil Nadu"/>
    <x v="0"/>
    <s v="Accessories"/>
    <s v="Keyboard"/>
    <n v="4"/>
    <n v="3670.8"/>
    <n v="360.61"/>
    <x v="4"/>
    <x v="2"/>
    <x v="6"/>
    <n v="2025"/>
    <s v="Q2"/>
    <n v="9.8237441429661107E-2"/>
    <s v="MEDIUM"/>
    <n v="0.05"/>
  </r>
  <r>
    <n v="10651"/>
    <s v="05-Aug-2025"/>
    <x v="118"/>
    <x v="4"/>
    <s v="Telangana"/>
    <x v="1"/>
    <s v="Stationery"/>
    <s v="Notebook"/>
    <n v="7"/>
    <n v="16587.900000000001"/>
    <n v="2855.95"/>
    <x v="1"/>
    <x v="4"/>
    <x v="5"/>
    <n v="2025"/>
    <s v="Q3"/>
    <n v="0.1721706786271921"/>
    <s v="HIGH"/>
    <n v="0.1"/>
  </r>
  <r>
    <n v="10652"/>
    <s v="03-Oct-2025"/>
    <x v="30"/>
    <x v="1"/>
    <s v="Tamil Nadu"/>
    <x v="2"/>
    <s v="Office"/>
    <s v="Desk"/>
    <n v="8"/>
    <n v="30780"/>
    <n v="7682.83"/>
    <x v="1"/>
    <x v="4"/>
    <x v="7"/>
    <n v="2025"/>
    <s v="Q4"/>
    <n v="0.24960461338531514"/>
    <s v="HIGH"/>
    <n v="0.1"/>
  </r>
  <r>
    <n v="10653"/>
    <s v="12-Dec-2025"/>
    <x v="17"/>
    <x v="6"/>
    <s v="Maharashtra"/>
    <x v="0"/>
    <s v="Computers"/>
    <s v="Laptop"/>
    <n v="2"/>
    <n v="5196.6000000000004"/>
    <n v="1062.32"/>
    <x v="1"/>
    <x v="1"/>
    <x v="9"/>
    <n v="2025"/>
    <s v="Q4"/>
    <n v="0.20442597082707922"/>
    <s v="HIGH"/>
    <n v="0.1"/>
  </r>
  <r>
    <n v="10654"/>
    <s v="12-Oct-2025"/>
    <x v="79"/>
    <x v="1"/>
    <s v="Tamil Nadu"/>
    <x v="2"/>
    <s v="Living Room"/>
    <s v="Sofa"/>
    <n v="4"/>
    <n v="14440"/>
    <n v="2269.86"/>
    <x v="2"/>
    <x v="1"/>
    <x v="7"/>
    <n v="2025"/>
    <s v="Q4"/>
    <n v="0.15719252077562329"/>
    <s v="HIGH"/>
    <n v="0"/>
  </r>
  <r>
    <n v="10655"/>
    <s v="17-Nov-2025"/>
    <x v="159"/>
    <x v="7"/>
    <s v="Delhi"/>
    <x v="0"/>
    <s v="Accessories"/>
    <s v="Keyboard"/>
    <n v="2"/>
    <n v="3682"/>
    <n v="1052.8499999999999"/>
    <x v="2"/>
    <x v="4"/>
    <x v="10"/>
    <n v="2025"/>
    <s v="Q4"/>
    <n v="0.28594513851167841"/>
    <s v="MEDIUM"/>
    <n v="0"/>
  </r>
  <r>
    <n v="10656"/>
    <s v="25-Jan-2025"/>
    <x v="19"/>
    <x v="2"/>
    <s v="West Bengal"/>
    <x v="2"/>
    <s v="Living Room"/>
    <s v="Sofa"/>
    <n v="8"/>
    <n v="22424"/>
    <n v="2208.4499999999998"/>
    <x v="2"/>
    <x v="2"/>
    <x v="0"/>
    <n v="2025"/>
    <s v="Q1"/>
    <n v="9.8485997145915077E-2"/>
    <s v="HIGH"/>
    <n v="0"/>
  </r>
  <r>
    <n v="10657"/>
    <s v="25-Sep-2025"/>
    <x v="62"/>
    <x v="4"/>
    <s v="Telangana"/>
    <x v="0"/>
    <s v="Audio"/>
    <s v="Headphones"/>
    <n v="7"/>
    <n v="23464"/>
    <n v="4696.0600000000004"/>
    <x v="2"/>
    <x v="0"/>
    <x v="3"/>
    <n v="2025"/>
    <s v="Q3"/>
    <n v="0.20013893624275489"/>
    <s v="HIGH"/>
    <n v="0"/>
  </r>
  <r>
    <n v="10658"/>
    <s v="10-Feb-2025"/>
    <x v="98"/>
    <x v="0"/>
    <s v="Maharashtra"/>
    <x v="1"/>
    <s v="Stationery"/>
    <s v="Marker"/>
    <n v="5"/>
    <n v="17420"/>
    <n v="5219.68"/>
    <x v="3"/>
    <x v="2"/>
    <x v="1"/>
    <n v="2025"/>
    <s v="Q1"/>
    <n v="0.29963719862227328"/>
    <s v="HIGH"/>
    <n v="0.2"/>
  </r>
  <r>
    <n v="10659"/>
    <s v="10-Jan-2025"/>
    <x v="36"/>
    <x v="5"/>
    <s v="Karnataka"/>
    <x v="1"/>
    <s v="Stationery"/>
    <s v="Notebook"/>
    <n v="6"/>
    <n v="25131.3"/>
    <n v="2138.4299999999998"/>
    <x v="4"/>
    <x v="0"/>
    <x v="0"/>
    <n v="2025"/>
    <s v="Q1"/>
    <n v="8.5090305714388026E-2"/>
    <s v="HIGH"/>
    <n v="0.05"/>
  </r>
  <r>
    <n v="10660"/>
    <s v="29-Mar-2025"/>
    <x v="47"/>
    <x v="5"/>
    <s v="Karnataka"/>
    <x v="1"/>
    <s v="Stationery"/>
    <s v="Notebook"/>
    <n v="5"/>
    <n v="24830"/>
    <n v="6599.43"/>
    <x v="2"/>
    <x v="2"/>
    <x v="8"/>
    <n v="2025"/>
    <s v="Q1"/>
    <n v="0.26578453483689085"/>
    <s v="HIGH"/>
    <n v="0"/>
  </r>
  <r>
    <n v="10661"/>
    <s v="19-Aug-2025"/>
    <x v="96"/>
    <x v="2"/>
    <s v="West Bengal"/>
    <x v="0"/>
    <s v="Computers"/>
    <s v="Laptop"/>
    <n v="1"/>
    <n v="3114.4"/>
    <n v="610.14"/>
    <x v="0"/>
    <x v="3"/>
    <x v="5"/>
    <n v="2025"/>
    <s v="Q3"/>
    <n v="0.19590932442846132"/>
    <s v="MEDIUM"/>
    <n v="0.15"/>
  </r>
  <r>
    <n v="10662"/>
    <s v="18-Mar-2025"/>
    <x v="63"/>
    <x v="6"/>
    <s v="Maharashtra"/>
    <x v="2"/>
    <s v="Office"/>
    <s v="Desk"/>
    <n v="5"/>
    <n v="19138.5"/>
    <n v="3110.74"/>
    <x v="1"/>
    <x v="0"/>
    <x v="8"/>
    <n v="2025"/>
    <s v="Q1"/>
    <n v="0.16253833895028344"/>
    <s v="HIGH"/>
    <n v="0.1"/>
  </r>
  <r>
    <n v="10663"/>
    <s v="16-Jul-2025"/>
    <x v="27"/>
    <x v="2"/>
    <s v="West Bengal"/>
    <x v="2"/>
    <s v="Office"/>
    <s v="Desk"/>
    <n v="6"/>
    <n v="13642.5"/>
    <n v="3838.58"/>
    <x v="0"/>
    <x v="3"/>
    <x v="2"/>
    <n v="2025"/>
    <s v="Q3"/>
    <n v="0.2813692505039399"/>
    <s v="HIGH"/>
    <n v="0.15"/>
  </r>
  <r>
    <n v="10664"/>
    <s v="14-Jun-2025"/>
    <x v="172"/>
    <x v="4"/>
    <s v="Telangana"/>
    <x v="1"/>
    <s v="Stationery"/>
    <s v="Pen"/>
    <n v="3"/>
    <n v="1428"/>
    <n v="202.05"/>
    <x v="3"/>
    <x v="3"/>
    <x v="11"/>
    <n v="2025"/>
    <s v="Q2"/>
    <n v="0.14149159663865546"/>
    <s v="MEDIUM"/>
    <n v="0.2"/>
  </r>
  <r>
    <n v="10665"/>
    <s v="01-Sep-2025"/>
    <x v="76"/>
    <x v="4"/>
    <s v="Telangana"/>
    <x v="1"/>
    <s v="Paper"/>
    <s v="Printer Paper"/>
    <n v="3"/>
    <n v="13870.95"/>
    <n v="3277.18"/>
    <x v="4"/>
    <x v="1"/>
    <x v="3"/>
    <n v="2025"/>
    <s v="Q3"/>
    <n v="0.2362621161492183"/>
    <s v="HIGH"/>
    <n v="0.05"/>
  </r>
  <r>
    <n v="10666"/>
    <s v="30-Jul-2025"/>
    <x v="19"/>
    <x v="6"/>
    <s v="Maharashtra"/>
    <x v="2"/>
    <s v="Office"/>
    <s v="Desk"/>
    <n v="7"/>
    <n v="24500.7"/>
    <n v="5521.63"/>
    <x v="1"/>
    <x v="1"/>
    <x v="2"/>
    <n v="2025"/>
    <s v="Q3"/>
    <n v="0.225366214026538"/>
    <s v="HIGH"/>
    <n v="0.1"/>
  </r>
  <r>
    <n v="10667"/>
    <s v="02-Feb-2025"/>
    <x v="133"/>
    <x v="7"/>
    <s v="Delhi"/>
    <x v="2"/>
    <s v="Chairs"/>
    <s v="Chair"/>
    <n v="4"/>
    <n v="9406.7999999999993"/>
    <n v="1735.15"/>
    <x v="1"/>
    <x v="1"/>
    <x v="1"/>
    <n v="2025"/>
    <s v="Q1"/>
    <n v="0.1844569885614662"/>
    <s v="HIGH"/>
    <n v="0.1"/>
  </r>
  <r>
    <n v="10668"/>
    <s v="18-May-2025"/>
    <x v="26"/>
    <x v="4"/>
    <s v="Telangana"/>
    <x v="0"/>
    <s v="Computers"/>
    <s v="Laptop"/>
    <n v="6"/>
    <n v="3076.8"/>
    <n v="483.3"/>
    <x v="3"/>
    <x v="1"/>
    <x v="6"/>
    <n v="2025"/>
    <s v="Q2"/>
    <n v="0.15707878315132603"/>
    <s v="MEDIUM"/>
    <n v="0.2"/>
  </r>
  <r>
    <n v="10669"/>
    <s v="29-Oct-2025"/>
    <x v="165"/>
    <x v="1"/>
    <s v="Tamil Nadu"/>
    <x v="0"/>
    <s v="Computers"/>
    <s v="Laptop"/>
    <n v="4"/>
    <n v="11552"/>
    <n v="2522.37"/>
    <x v="4"/>
    <x v="1"/>
    <x v="7"/>
    <n v="2025"/>
    <s v="Q4"/>
    <n v="0.21834920360110802"/>
    <s v="HIGH"/>
    <n v="0.05"/>
  </r>
  <r>
    <n v="10670"/>
    <s v="02-Sep-2025"/>
    <x v="23"/>
    <x v="6"/>
    <s v="Maharashtra"/>
    <x v="2"/>
    <s v="Office"/>
    <s v="Desk"/>
    <n v="7"/>
    <n v="22171.1"/>
    <n v="2336.36"/>
    <x v="4"/>
    <x v="3"/>
    <x v="3"/>
    <n v="2025"/>
    <s v="Q3"/>
    <n v="0.10537862352341563"/>
    <s v="HIGH"/>
    <n v="0.05"/>
  </r>
  <r>
    <n v="10671"/>
    <s v="27-Dec-2025"/>
    <x v="189"/>
    <x v="4"/>
    <s v="Telangana"/>
    <x v="0"/>
    <s v="Accessories"/>
    <s v="Mouse"/>
    <n v="3"/>
    <n v="1608"/>
    <n v="177.25"/>
    <x v="3"/>
    <x v="0"/>
    <x v="9"/>
    <n v="2025"/>
    <s v="Q4"/>
    <n v="0.11023009950248756"/>
    <s v="MEDIUM"/>
    <n v="0.2"/>
  </r>
  <r>
    <n v="10672"/>
    <s v="16-Oct-2025"/>
    <x v="54"/>
    <x v="6"/>
    <s v="Maharashtra"/>
    <x v="1"/>
    <s v="Paper"/>
    <s v="Printer Paper"/>
    <n v="1"/>
    <n v="192.95"/>
    <n v="49.01"/>
    <x v="0"/>
    <x v="2"/>
    <x v="7"/>
    <n v="2025"/>
    <s v="Q4"/>
    <n v="0.25400362788287123"/>
    <s v="LOW"/>
    <n v="0.15"/>
  </r>
  <r>
    <n v="10673"/>
    <s v="26-Jun-2025"/>
    <x v="41"/>
    <x v="7"/>
    <s v="Delhi"/>
    <x v="2"/>
    <s v="Living Room"/>
    <s v="Sofa"/>
    <n v="1"/>
    <n v="1661"/>
    <n v="162.58000000000001"/>
    <x v="2"/>
    <x v="3"/>
    <x v="11"/>
    <n v="2025"/>
    <s v="Q2"/>
    <n v="9.7880794701986767E-2"/>
    <s v="MEDIUM"/>
    <n v="0"/>
  </r>
  <r>
    <n v="10674"/>
    <s v="31-Jul-2025"/>
    <x v="61"/>
    <x v="7"/>
    <s v="Delhi"/>
    <x v="2"/>
    <s v="Chairs"/>
    <s v="Chair"/>
    <n v="2"/>
    <n v="3718"/>
    <n v="896.18"/>
    <x v="2"/>
    <x v="3"/>
    <x v="2"/>
    <n v="2025"/>
    <s v="Q3"/>
    <n v="0.2410381925766541"/>
    <s v="MEDIUM"/>
    <n v="0"/>
  </r>
  <r>
    <n v="10675"/>
    <s v="06-Jul-2025"/>
    <x v="190"/>
    <x v="4"/>
    <s v="Telangana"/>
    <x v="0"/>
    <s v="Audio"/>
    <s v="Headphones"/>
    <n v="8"/>
    <n v="27261.200000000001"/>
    <n v="3703.77"/>
    <x v="0"/>
    <x v="2"/>
    <x v="2"/>
    <n v="2025"/>
    <s v="Q3"/>
    <n v="0.13586232447581179"/>
    <s v="HIGH"/>
    <n v="0.15"/>
  </r>
  <r>
    <n v="10676"/>
    <s v="15-Nov-2025"/>
    <x v="8"/>
    <x v="6"/>
    <s v="Maharashtra"/>
    <x v="2"/>
    <s v="Tables"/>
    <s v="Table"/>
    <n v="6"/>
    <n v="12384"/>
    <n v="3311.22"/>
    <x v="2"/>
    <x v="2"/>
    <x v="10"/>
    <n v="2025"/>
    <s v="Q4"/>
    <n v="0.26737887596899224"/>
    <s v="HIGH"/>
    <n v="0"/>
  </r>
  <r>
    <n v="10677"/>
    <s v="25-Apr-2025"/>
    <x v="77"/>
    <x v="1"/>
    <s v="Tamil Nadu"/>
    <x v="0"/>
    <s v="Accessories"/>
    <s v="Mouse"/>
    <n v="5"/>
    <n v="19872"/>
    <n v="4725.93"/>
    <x v="3"/>
    <x v="3"/>
    <x v="4"/>
    <n v="2025"/>
    <s v="Q2"/>
    <n v="0.23781853864734301"/>
    <s v="HIGH"/>
    <n v="0.2"/>
  </r>
  <r>
    <n v="10678"/>
    <s v="26-Oct-2025"/>
    <x v="17"/>
    <x v="3"/>
    <s v="Gujarat"/>
    <x v="2"/>
    <s v="Office"/>
    <s v="Desk"/>
    <n v="3"/>
    <n v="5570.4"/>
    <n v="688.49"/>
    <x v="3"/>
    <x v="1"/>
    <x v="7"/>
    <n v="2025"/>
    <s v="Q4"/>
    <n v="0.12359794628751976"/>
    <s v="HIGH"/>
    <n v="0.2"/>
  </r>
  <r>
    <n v="10679"/>
    <s v="06-Jun-2025"/>
    <x v="54"/>
    <x v="6"/>
    <s v="Maharashtra"/>
    <x v="2"/>
    <s v="Living Room"/>
    <s v="Sofa"/>
    <n v="1"/>
    <n v="2719.85"/>
    <n v="469.59"/>
    <x v="4"/>
    <x v="1"/>
    <x v="11"/>
    <n v="2025"/>
    <s v="Q2"/>
    <n v="0.17265290365277497"/>
    <s v="MEDIUM"/>
    <n v="0.05"/>
  </r>
  <r>
    <n v="10680"/>
    <s v="02-Mar-2025"/>
    <x v="83"/>
    <x v="6"/>
    <s v="Maharashtra"/>
    <x v="2"/>
    <s v="Living Room"/>
    <s v="Sofa"/>
    <n v="5"/>
    <n v="8648"/>
    <n v="2356.02"/>
    <x v="3"/>
    <x v="3"/>
    <x v="8"/>
    <n v="2025"/>
    <s v="Q1"/>
    <n v="0.27243524514338574"/>
    <s v="HIGH"/>
    <n v="0.2"/>
  </r>
  <r>
    <n v="10681"/>
    <s v="04-Apr-2025"/>
    <x v="114"/>
    <x v="7"/>
    <s v="Delhi"/>
    <x v="1"/>
    <s v="Stationery"/>
    <s v="Pen"/>
    <n v="8"/>
    <n v="6684.4"/>
    <n v="1506.94"/>
    <x v="0"/>
    <x v="3"/>
    <x v="4"/>
    <n v="2025"/>
    <s v="Q2"/>
    <n v="0.22544132607264677"/>
    <s v="HIGH"/>
    <n v="0.15"/>
  </r>
  <r>
    <n v="10682"/>
    <s v="17-Oct-2025"/>
    <x v="134"/>
    <x v="7"/>
    <s v="Delhi"/>
    <x v="2"/>
    <s v="Tables"/>
    <s v="Table"/>
    <n v="4"/>
    <n v="1048.8"/>
    <n v="264.55"/>
    <x v="4"/>
    <x v="0"/>
    <x v="7"/>
    <n v="2025"/>
    <s v="Q4"/>
    <n v="0.2522406559877956"/>
    <s v="MEDIUM"/>
    <n v="0.05"/>
  </r>
  <r>
    <n v="10683"/>
    <s v="03-Apr-2025"/>
    <x v="148"/>
    <x v="1"/>
    <s v="Tamil Nadu"/>
    <x v="1"/>
    <s v="Paper"/>
    <s v="Printer Paper"/>
    <n v="3"/>
    <n v="5983.2"/>
    <n v="1745.51"/>
    <x v="3"/>
    <x v="3"/>
    <x v="4"/>
    <n v="2025"/>
    <s v="Q2"/>
    <n v="0.29173519187057095"/>
    <s v="HIGH"/>
    <n v="0.2"/>
  </r>
  <r>
    <n v="10684"/>
    <s v="28-Mar-2025"/>
    <x v="191"/>
    <x v="5"/>
    <s v="Karnataka"/>
    <x v="1"/>
    <s v="Stationery"/>
    <s v="Pen"/>
    <n v="7"/>
    <n v="6272"/>
    <n v="1652.41"/>
    <x v="3"/>
    <x v="4"/>
    <x v="8"/>
    <n v="2025"/>
    <s v="Q1"/>
    <n v="0.26345822704081634"/>
    <s v="HIGH"/>
    <n v="0.2"/>
  </r>
  <r>
    <n v="10685"/>
    <s v="03-Jun-2025"/>
    <x v="112"/>
    <x v="4"/>
    <s v="Telangana"/>
    <x v="2"/>
    <s v="Office"/>
    <s v="Desk"/>
    <n v="8"/>
    <n v="16332.4"/>
    <n v="4739.08"/>
    <x v="4"/>
    <x v="3"/>
    <x v="11"/>
    <n v="2025"/>
    <s v="Q2"/>
    <n v="0.2901643359212363"/>
    <s v="HIGH"/>
    <n v="0.05"/>
  </r>
  <r>
    <n v="10686"/>
    <s v="12-Dec-2025"/>
    <x v="166"/>
    <x v="5"/>
    <s v="Karnataka"/>
    <x v="1"/>
    <s v="Stationery"/>
    <s v="Notebook"/>
    <n v="1"/>
    <n v="994.65"/>
    <n v="134.25"/>
    <x v="4"/>
    <x v="3"/>
    <x v="9"/>
    <n v="2025"/>
    <s v="Q4"/>
    <n v="0.13497210073895341"/>
    <s v="LOW"/>
    <n v="0.05"/>
  </r>
  <r>
    <n v="10687"/>
    <s v="31-Jan-2025"/>
    <x v="108"/>
    <x v="0"/>
    <s v="Maharashtra"/>
    <x v="2"/>
    <s v="Chairs"/>
    <s v="Chair"/>
    <n v="1"/>
    <n v="3160.3"/>
    <n v="470.93"/>
    <x v="0"/>
    <x v="4"/>
    <x v="0"/>
    <n v="2025"/>
    <s v="Q1"/>
    <n v="0.14901433408220738"/>
    <s v="MEDIUM"/>
    <n v="0.15"/>
  </r>
  <r>
    <n v="10688"/>
    <s v="15-Sep-2025"/>
    <x v="163"/>
    <x v="7"/>
    <s v="Delhi"/>
    <x v="0"/>
    <s v="Computers"/>
    <s v="Laptop"/>
    <n v="6"/>
    <n v="20634.599999999999"/>
    <n v="3745.82"/>
    <x v="0"/>
    <x v="3"/>
    <x v="3"/>
    <n v="2025"/>
    <s v="Q3"/>
    <n v="0.1815310207127834"/>
    <s v="HIGH"/>
    <n v="0.15"/>
  </r>
  <r>
    <n v="10689"/>
    <s v="13-Dec-2025"/>
    <x v="28"/>
    <x v="4"/>
    <s v="Telangana"/>
    <x v="2"/>
    <s v="Chairs"/>
    <s v="Chair"/>
    <n v="8"/>
    <n v="13235.2"/>
    <n v="2265.08"/>
    <x v="3"/>
    <x v="1"/>
    <x v="9"/>
    <n v="2025"/>
    <s v="Q4"/>
    <n v="0.17114059477756285"/>
    <s v="HIGH"/>
    <n v="0.2"/>
  </r>
  <r>
    <n v="10690"/>
    <s v="01-Sep-2025"/>
    <x v="140"/>
    <x v="0"/>
    <s v="Maharashtra"/>
    <x v="2"/>
    <s v="Living Room"/>
    <s v="Sofa"/>
    <n v="2"/>
    <n v="376.2"/>
    <n v="107.7"/>
    <x v="4"/>
    <x v="2"/>
    <x v="3"/>
    <n v="2025"/>
    <s v="Q3"/>
    <n v="0.28628389154704947"/>
    <s v="LOW"/>
    <n v="0.05"/>
  </r>
  <r>
    <n v="10691"/>
    <s v="27-Nov-2025"/>
    <x v="151"/>
    <x v="0"/>
    <s v="Maharashtra"/>
    <x v="1"/>
    <s v="Stationery"/>
    <s v="Marker"/>
    <n v="1"/>
    <n v="3276"/>
    <n v="656.36"/>
    <x v="1"/>
    <x v="2"/>
    <x v="10"/>
    <n v="2025"/>
    <s v="Q4"/>
    <n v="0.20035409035409035"/>
    <s v="MEDIUM"/>
    <n v="0.1"/>
  </r>
  <r>
    <n v="10692"/>
    <s v="20-Feb-2025"/>
    <x v="111"/>
    <x v="2"/>
    <s v="West Bengal"/>
    <x v="2"/>
    <s v="Living Room"/>
    <s v="Sofa"/>
    <n v="1"/>
    <n v="3172.05"/>
    <n v="580.59"/>
    <x v="4"/>
    <x v="1"/>
    <x v="1"/>
    <n v="2025"/>
    <s v="Q1"/>
    <n v="0.18303305433394806"/>
    <s v="MEDIUM"/>
    <n v="0.05"/>
  </r>
  <r>
    <n v="10693"/>
    <s v="30-Apr-2025"/>
    <x v="162"/>
    <x v="2"/>
    <s v="West Bengal"/>
    <x v="0"/>
    <s v="Computers"/>
    <s v="Laptop"/>
    <n v="7"/>
    <n v="22461.25"/>
    <n v="3520.06"/>
    <x v="0"/>
    <x v="1"/>
    <x v="4"/>
    <n v="2025"/>
    <s v="Q2"/>
    <n v="0.15671701263286772"/>
    <s v="HIGH"/>
    <n v="0.15"/>
  </r>
  <r>
    <n v="10694"/>
    <s v="10-Jul-2025"/>
    <x v="66"/>
    <x v="3"/>
    <s v="Gujarat"/>
    <x v="2"/>
    <s v="Tables"/>
    <s v="Table"/>
    <n v="8"/>
    <n v="22880"/>
    <n v="5333.74"/>
    <x v="2"/>
    <x v="1"/>
    <x v="2"/>
    <n v="2025"/>
    <s v="Q3"/>
    <n v="0.23311800699300697"/>
    <s v="HIGH"/>
    <n v="0"/>
  </r>
  <r>
    <n v="10695"/>
    <s v="06-Oct-2025"/>
    <x v="0"/>
    <x v="4"/>
    <s v="Telangana"/>
    <x v="1"/>
    <s v="Paper"/>
    <s v="Printer Paper"/>
    <n v="8"/>
    <n v="3903.2"/>
    <n v="1076.33"/>
    <x v="0"/>
    <x v="1"/>
    <x v="7"/>
    <n v="2025"/>
    <s v="Q4"/>
    <n v="0.27575579012092644"/>
    <s v="MEDIUM"/>
    <n v="0.15"/>
  </r>
  <r>
    <n v="10696"/>
    <s v="25-Nov-2025"/>
    <x v="6"/>
    <x v="7"/>
    <s v="Delhi"/>
    <x v="1"/>
    <s v="Stationery"/>
    <s v="Notebook"/>
    <n v="6"/>
    <n v="10827"/>
    <n v="2530.69"/>
    <x v="1"/>
    <x v="2"/>
    <x v="10"/>
    <n v="2025"/>
    <s v="Q4"/>
    <n v="0.23373880114528495"/>
    <s v="HIGH"/>
    <n v="0.1"/>
  </r>
  <r>
    <n v="10697"/>
    <s v="15-May-2025"/>
    <x v="42"/>
    <x v="7"/>
    <s v="Delhi"/>
    <x v="0"/>
    <s v="Accessories"/>
    <s v="Mouse"/>
    <n v="4"/>
    <n v="8544"/>
    <n v="1554.16"/>
    <x v="2"/>
    <x v="3"/>
    <x v="6"/>
    <n v="2025"/>
    <s v="Q2"/>
    <n v="0.18190074906367043"/>
    <s v="HIGH"/>
    <n v="0"/>
  </r>
  <r>
    <n v="10698"/>
    <s v="29-Dec-2025"/>
    <x v="162"/>
    <x v="5"/>
    <s v="Karnataka"/>
    <x v="0"/>
    <s v="Accessories"/>
    <s v="Keyboard"/>
    <n v="8"/>
    <n v="25500"/>
    <n v="6195.63"/>
    <x v="0"/>
    <x v="4"/>
    <x v="9"/>
    <n v="2025"/>
    <s v="Q4"/>
    <n v="0.24296588235294117"/>
    <s v="HIGH"/>
    <n v="0.15"/>
  </r>
  <r>
    <n v="10699"/>
    <s v="11-Dec-2025"/>
    <x v="82"/>
    <x v="5"/>
    <s v="Karnataka"/>
    <x v="0"/>
    <s v="Audio"/>
    <s v="Headphones"/>
    <n v="4"/>
    <n v="1268.2"/>
    <n v="120.27"/>
    <x v="0"/>
    <x v="4"/>
    <x v="9"/>
    <n v="2025"/>
    <s v="Q4"/>
    <n v="9.483519949534773E-2"/>
    <s v="MEDIUM"/>
    <n v="0.15"/>
  </r>
  <r>
    <n v="10700"/>
    <s v="26-Apr-2025"/>
    <x v="141"/>
    <x v="3"/>
    <s v="Gujarat"/>
    <x v="1"/>
    <s v="Stationery"/>
    <s v="Pen"/>
    <n v="7"/>
    <n v="14974.4"/>
    <n v="4097.51"/>
    <x v="3"/>
    <x v="0"/>
    <x v="4"/>
    <n v="2025"/>
    <s v="Q2"/>
    <n v="0.27363433593332626"/>
    <s v="HIGH"/>
    <n v="0.2"/>
  </r>
  <r>
    <n v="10701"/>
    <s v="07-Nov-2025"/>
    <x v="0"/>
    <x v="7"/>
    <s v="Delhi"/>
    <x v="1"/>
    <s v="Stationery"/>
    <s v="Marker"/>
    <n v="6"/>
    <n v="11856"/>
    <n v="2733.29"/>
    <x v="2"/>
    <x v="2"/>
    <x v="10"/>
    <n v="2025"/>
    <s v="Q4"/>
    <n v="0.23054065452091768"/>
    <s v="HIGH"/>
    <n v="0"/>
  </r>
  <r>
    <n v="10702"/>
    <s v="18-Jan-2025"/>
    <x v="18"/>
    <x v="5"/>
    <s v="Karnataka"/>
    <x v="0"/>
    <s v="Computers"/>
    <s v="Laptop"/>
    <n v="4"/>
    <n v="13739.4"/>
    <n v="3383.78"/>
    <x v="0"/>
    <x v="1"/>
    <x v="0"/>
    <n v="2025"/>
    <s v="Q1"/>
    <n v="0.24628295267624498"/>
    <s v="HIGH"/>
    <n v="0.15"/>
  </r>
  <r>
    <n v="10703"/>
    <s v="07-Sep-2025"/>
    <x v="42"/>
    <x v="1"/>
    <s v="Tamil Nadu"/>
    <x v="1"/>
    <s v="Stationery"/>
    <s v="Marker"/>
    <n v="1"/>
    <n v="1175"/>
    <n v="107.12"/>
    <x v="2"/>
    <x v="2"/>
    <x v="3"/>
    <n v="2025"/>
    <s v="Q3"/>
    <n v="9.1165957446808513E-2"/>
    <s v="MEDIUM"/>
    <n v="0"/>
  </r>
  <r>
    <n v="10704"/>
    <s v="26-Apr-2025"/>
    <x v="18"/>
    <x v="4"/>
    <s v="Telangana"/>
    <x v="1"/>
    <s v="Stationery"/>
    <s v="Pen"/>
    <n v="4"/>
    <n v="4277.2"/>
    <n v="494.42"/>
    <x v="0"/>
    <x v="0"/>
    <x v="4"/>
    <n v="2025"/>
    <s v="Q2"/>
    <n v="0.11559431403722062"/>
    <s v="MEDIUM"/>
    <n v="0.15"/>
  </r>
  <r>
    <n v="10705"/>
    <s v="24-Mar-2025"/>
    <x v="105"/>
    <x v="2"/>
    <s v="West Bengal"/>
    <x v="2"/>
    <s v="Office"/>
    <s v="Desk"/>
    <n v="5"/>
    <n v="3150"/>
    <n v="616.44000000000005"/>
    <x v="2"/>
    <x v="1"/>
    <x v="8"/>
    <n v="2025"/>
    <s v="Q1"/>
    <n v="0.19569523809523812"/>
    <s v="MEDIUM"/>
    <n v="0"/>
  </r>
  <r>
    <n v="10706"/>
    <s v="05-Mar-2025"/>
    <x v="166"/>
    <x v="7"/>
    <s v="Delhi"/>
    <x v="2"/>
    <s v="Chairs"/>
    <s v="Chair"/>
    <n v="5"/>
    <n v="8089.25"/>
    <n v="883.79"/>
    <x v="4"/>
    <x v="0"/>
    <x v="8"/>
    <n v="2025"/>
    <s v="Q1"/>
    <n v="0.10925487529746268"/>
    <s v="HIGH"/>
    <n v="0.05"/>
  </r>
  <r>
    <n v="10707"/>
    <s v="28-Jan-2025"/>
    <x v="167"/>
    <x v="0"/>
    <s v="Maharashtra"/>
    <x v="1"/>
    <s v="Stationery"/>
    <s v="Pen"/>
    <n v="2"/>
    <n v="2017.6"/>
    <n v="497.97"/>
    <x v="3"/>
    <x v="3"/>
    <x v="0"/>
    <n v="2025"/>
    <s v="Q1"/>
    <n v="0.24681304520222047"/>
    <s v="MEDIUM"/>
    <n v="0.2"/>
  </r>
  <r>
    <n v="10708"/>
    <s v="26-Dec-2025"/>
    <x v="102"/>
    <x v="2"/>
    <s v="West Bengal"/>
    <x v="2"/>
    <s v="Living Room"/>
    <s v="Sofa"/>
    <n v="2"/>
    <n v="5832.7"/>
    <n v="1358.22"/>
    <x v="0"/>
    <x v="1"/>
    <x v="9"/>
    <n v="2025"/>
    <s v="Q4"/>
    <n v="0.23286299655391157"/>
    <s v="HIGH"/>
    <n v="0.15"/>
  </r>
  <r>
    <n v="10709"/>
    <s v="25-Mar-2025"/>
    <x v="69"/>
    <x v="5"/>
    <s v="Karnataka"/>
    <x v="1"/>
    <s v="Stationery"/>
    <s v="Pen"/>
    <n v="2"/>
    <n v="1278.4000000000001"/>
    <n v="260.92"/>
    <x v="0"/>
    <x v="2"/>
    <x v="8"/>
    <n v="2025"/>
    <s v="Q1"/>
    <n v="0.20409887359199"/>
    <s v="MEDIUM"/>
    <n v="0.15"/>
  </r>
  <r>
    <n v="10710"/>
    <s v="09-Oct-2025"/>
    <x v="144"/>
    <x v="5"/>
    <s v="Karnataka"/>
    <x v="0"/>
    <s v="Computers"/>
    <s v="Laptop"/>
    <n v="6"/>
    <n v="13836"/>
    <n v="1355.86"/>
    <x v="2"/>
    <x v="1"/>
    <x v="7"/>
    <n v="2025"/>
    <s v="Q4"/>
    <n v="9.7995085284764374E-2"/>
    <s v="HIGH"/>
    <n v="0"/>
  </r>
  <r>
    <n v="10711"/>
    <s v="22-Feb-2025"/>
    <x v="192"/>
    <x v="5"/>
    <s v="Karnataka"/>
    <x v="0"/>
    <s v="Computers"/>
    <s v="Laptop"/>
    <n v="8"/>
    <n v="25644.799999999999"/>
    <n v="6452.81"/>
    <x v="3"/>
    <x v="3"/>
    <x v="1"/>
    <n v="2025"/>
    <s v="Q1"/>
    <n v="0.25162255116046922"/>
    <s v="HIGH"/>
    <n v="0.2"/>
  </r>
  <r>
    <n v="10712"/>
    <s v="22-Dec-2025"/>
    <x v="157"/>
    <x v="6"/>
    <s v="Maharashtra"/>
    <x v="0"/>
    <s v="Accessories"/>
    <s v="Keyboard"/>
    <n v="6"/>
    <n v="19022.400000000001"/>
    <n v="4292.3599999999997"/>
    <x v="3"/>
    <x v="4"/>
    <x v="9"/>
    <n v="2025"/>
    <s v="Q4"/>
    <n v="0.22564765749852803"/>
    <s v="HIGH"/>
    <n v="0.2"/>
  </r>
  <r>
    <n v="10713"/>
    <s v="30-Aug-2025"/>
    <x v="99"/>
    <x v="3"/>
    <s v="Gujarat"/>
    <x v="1"/>
    <s v="Paper"/>
    <s v="Printer Paper"/>
    <n v="7"/>
    <n v="26393.85"/>
    <n v="3969.33"/>
    <x v="4"/>
    <x v="2"/>
    <x v="5"/>
    <n v="2025"/>
    <s v="Q3"/>
    <n v="0.1503884427622344"/>
    <s v="HIGH"/>
    <n v="0.05"/>
  </r>
  <r>
    <n v="10714"/>
    <s v="13-Jun-2025"/>
    <x v="31"/>
    <x v="4"/>
    <s v="Telangana"/>
    <x v="1"/>
    <s v="Stationery"/>
    <s v="Notebook"/>
    <n v="2"/>
    <n v="3196.8"/>
    <n v="337.39"/>
    <x v="1"/>
    <x v="2"/>
    <x v="11"/>
    <n v="2025"/>
    <s v="Q2"/>
    <n v="0.10553991491491491"/>
    <s v="MEDIUM"/>
    <n v="0.1"/>
  </r>
  <r>
    <n v="10715"/>
    <s v="23-Nov-2025"/>
    <x v="152"/>
    <x v="6"/>
    <s v="Maharashtra"/>
    <x v="1"/>
    <s v="Stationery"/>
    <s v="Pen"/>
    <n v="6"/>
    <n v="10459.200000000001"/>
    <n v="3104.33"/>
    <x v="3"/>
    <x v="1"/>
    <x v="10"/>
    <n v="2025"/>
    <s v="Q4"/>
    <n v="0.29680377084289428"/>
    <s v="HIGH"/>
    <n v="0.2"/>
  </r>
  <r>
    <n v="10716"/>
    <s v="03-May-2025"/>
    <x v="83"/>
    <x v="5"/>
    <s v="Karnataka"/>
    <x v="0"/>
    <s v="Accessories"/>
    <s v="Keyboard"/>
    <n v="8"/>
    <n v="5939.2"/>
    <n v="1383.44"/>
    <x v="3"/>
    <x v="1"/>
    <x v="6"/>
    <n v="2025"/>
    <s v="Q2"/>
    <n v="0.23293372844827587"/>
    <s v="HIGH"/>
    <n v="0.2"/>
  </r>
  <r>
    <n v="10717"/>
    <s v="29-Aug-2025"/>
    <x v="112"/>
    <x v="2"/>
    <s v="West Bengal"/>
    <x v="0"/>
    <s v="Accessories"/>
    <s v="Mouse"/>
    <n v="3"/>
    <n v="439.2"/>
    <n v="46.1"/>
    <x v="3"/>
    <x v="4"/>
    <x v="5"/>
    <n v="2025"/>
    <s v="Q3"/>
    <n v="0.10496357012750455"/>
    <s v="LOW"/>
    <n v="0.2"/>
  </r>
  <r>
    <n v="10718"/>
    <s v="08-Feb-2025"/>
    <x v="186"/>
    <x v="4"/>
    <s v="Telangana"/>
    <x v="1"/>
    <s v="Stationery"/>
    <s v="Marker"/>
    <n v="7"/>
    <n v="26075.7"/>
    <n v="6798.46"/>
    <x v="1"/>
    <x v="1"/>
    <x v="1"/>
    <n v="2025"/>
    <s v="Q1"/>
    <n v="0.26072013407118505"/>
    <s v="HIGH"/>
    <n v="0.1"/>
  </r>
  <r>
    <n v="10719"/>
    <s v="24-Jun-2025"/>
    <x v="188"/>
    <x v="2"/>
    <s v="West Bengal"/>
    <x v="1"/>
    <s v="Stationery"/>
    <s v="Notebook"/>
    <n v="2"/>
    <n v="4757.3999999999996"/>
    <n v="1147.76"/>
    <x v="1"/>
    <x v="3"/>
    <x v="11"/>
    <n v="2025"/>
    <s v="Q2"/>
    <n v="0.24125782990709213"/>
    <s v="MEDIUM"/>
    <n v="0.1"/>
  </r>
  <r>
    <n v="10720"/>
    <s v="29-Mar-2025"/>
    <x v="61"/>
    <x v="6"/>
    <s v="Maharashtra"/>
    <x v="1"/>
    <s v="Stationery"/>
    <s v="Notebook"/>
    <n v="6"/>
    <n v="15861"/>
    <n v="2971.25"/>
    <x v="0"/>
    <x v="0"/>
    <x v="8"/>
    <n v="2025"/>
    <s v="Q1"/>
    <n v="0.18733055923333963"/>
    <s v="HIGH"/>
    <n v="0.15"/>
  </r>
  <r>
    <n v="10721"/>
    <s v="07-Feb-2025"/>
    <x v="171"/>
    <x v="7"/>
    <s v="Delhi"/>
    <x v="2"/>
    <s v="Chairs"/>
    <s v="Chair"/>
    <n v="6"/>
    <n v="6436.8"/>
    <n v="1009.54"/>
    <x v="1"/>
    <x v="1"/>
    <x v="1"/>
    <n v="2025"/>
    <s v="Q1"/>
    <n v="0.15683880188913746"/>
    <s v="HIGH"/>
    <n v="0.1"/>
  </r>
  <r>
    <n v="10722"/>
    <s v="18-Mar-2025"/>
    <x v="3"/>
    <x v="3"/>
    <s v="Gujarat"/>
    <x v="2"/>
    <s v="Office"/>
    <s v="Desk"/>
    <n v="7"/>
    <n v="26465.599999999999"/>
    <n v="4587.4399999999996"/>
    <x v="3"/>
    <x v="0"/>
    <x v="8"/>
    <n v="2025"/>
    <s v="Q1"/>
    <n v="0.17333595308627048"/>
    <s v="HIGH"/>
    <n v="0.2"/>
  </r>
  <r>
    <n v="10723"/>
    <s v="22-Nov-2025"/>
    <x v="124"/>
    <x v="7"/>
    <s v="Delhi"/>
    <x v="0"/>
    <s v="Audio"/>
    <s v="Headphones"/>
    <n v="4"/>
    <n v="5446.8"/>
    <n v="1530.41"/>
    <x v="1"/>
    <x v="1"/>
    <x v="10"/>
    <n v="2025"/>
    <s v="Q4"/>
    <n v="0.28097414995960934"/>
    <s v="HIGH"/>
    <n v="0.1"/>
  </r>
  <r>
    <n v="10724"/>
    <s v="16-Mar-2025"/>
    <x v="6"/>
    <x v="1"/>
    <s v="Tamil Nadu"/>
    <x v="1"/>
    <s v="Stationery"/>
    <s v="Marker"/>
    <n v="7"/>
    <n v="19117"/>
    <n v="1909.49"/>
    <x v="2"/>
    <x v="0"/>
    <x v="8"/>
    <n v="2025"/>
    <s v="Q1"/>
    <n v="9.9884396087252178E-2"/>
    <s v="HIGH"/>
    <n v="0"/>
  </r>
  <r>
    <n v="10725"/>
    <s v="06-Jul-2025"/>
    <x v="17"/>
    <x v="1"/>
    <s v="Tamil Nadu"/>
    <x v="2"/>
    <s v="Chairs"/>
    <s v="Chair"/>
    <n v="5"/>
    <n v="10429.5"/>
    <n v="2157.19"/>
    <x v="0"/>
    <x v="2"/>
    <x v="2"/>
    <n v="2025"/>
    <s v="Q3"/>
    <n v="0.20683541876408265"/>
    <s v="HIGH"/>
    <n v="0.15"/>
  </r>
  <r>
    <n v="10726"/>
    <s v="25-Mar-2025"/>
    <x v="113"/>
    <x v="6"/>
    <s v="Maharashtra"/>
    <x v="1"/>
    <s v="Stationery"/>
    <s v="Marker"/>
    <n v="1"/>
    <n v="3600.8"/>
    <n v="838.16"/>
    <x v="3"/>
    <x v="3"/>
    <x v="8"/>
    <n v="2025"/>
    <s v="Q1"/>
    <n v="0.23277049544545655"/>
    <s v="MEDIUM"/>
    <n v="0.2"/>
  </r>
  <r>
    <n v="10727"/>
    <s v="06-Nov-2025"/>
    <x v="79"/>
    <x v="5"/>
    <s v="Karnataka"/>
    <x v="1"/>
    <s v="Stationery"/>
    <s v="Pen"/>
    <n v="2"/>
    <n v="7355.2"/>
    <n v="1975.65"/>
    <x v="3"/>
    <x v="4"/>
    <x v="10"/>
    <n v="2025"/>
    <s v="Q4"/>
    <n v="0.26860588427235155"/>
    <s v="HIGH"/>
    <n v="0.2"/>
  </r>
  <r>
    <n v="10728"/>
    <s v="31-Jan-2025"/>
    <x v="170"/>
    <x v="4"/>
    <s v="Telangana"/>
    <x v="1"/>
    <s v="Stationery"/>
    <s v="Pen"/>
    <n v="2"/>
    <n v="3838.6"/>
    <n v="837.79"/>
    <x v="0"/>
    <x v="0"/>
    <x v="0"/>
    <n v="2025"/>
    <s v="Q1"/>
    <n v="0.21825405095607772"/>
    <s v="MEDIUM"/>
    <n v="0.15"/>
  </r>
  <r>
    <n v="10729"/>
    <s v="27-Jan-2025"/>
    <x v="166"/>
    <x v="2"/>
    <s v="West Bengal"/>
    <x v="0"/>
    <s v="Accessories"/>
    <s v="Keyboard"/>
    <n v="6"/>
    <n v="6014.4"/>
    <n v="750.81"/>
    <x v="3"/>
    <x v="3"/>
    <x v="0"/>
    <n v="2025"/>
    <s v="Q1"/>
    <n v="0.12483539505187549"/>
    <s v="HIGH"/>
    <n v="0.2"/>
  </r>
  <r>
    <n v="10730"/>
    <s v="27-Nov-2025"/>
    <x v="125"/>
    <x v="4"/>
    <s v="Telangana"/>
    <x v="2"/>
    <s v="Office"/>
    <s v="Desk"/>
    <n v="3"/>
    <n v="5493.6"/>
    <n v="538.37"/>
    <x v="3"/>
    <x v="4"/>
    <x v="10"/>
    <n v="2025"/>
    <s v="Q4"/>
    <n v="9.7999490316004079E-2"/>
    <s v="HIGH"/>
    <n v="0.2"/>
  </r>
  <r>
    <n v="10731"/>
    <s v="13-Apr-2025"/>
    <x v="193"/>
    <x v="2"/>
    <s v="West Bengal"/>
    <x v="2"/>
    <s v="Living Room"/>
    <s v="Sofa"/>
    <n v="7"/>
    <n v="1052.8"/>
    <n v="85.34"/>
    <x v="3"/>
    <x v="3"/>
    <x v="4"/>
    <n v="2025"/>
    <s v="Q2"/>
    <n v="8.106003039513679E-2"/>
    <s v="MEDIUM"/>
    <n v="0.2"/>
  </r>
  <r>
    <n v="10732"/>
    <s v="30-May-2025"/>
    <x v="6"/>
    <x v="2"/>
    <s v="West Bengal"/>
    <x v="1"/>
    <s v="Paper"/>
    <s v="Printer Paper"/>
    <n v="5"/>
    <n v="3890.25"/>
    <n v="1077.3399999999999"/>
    <x v="4"/>
    <x v="0"/>
    <x v="6"/>
    <n v="2025"/>
    <s v="Q2"/>
    <n v="0.27693335903862215"/>
    <s v="MEDIUM"/>
    <n v="0.05"/>
  </r>
  <r>
    <n v="10733"/>
    <s v="11-Jun-2025"/>
    <x v="5"/>
    <x v="5"/>
    <s v="Karnataka"/>
    <x v="2"/>
    <s v="Living Room"/>
    <s v="Sofa"/>
    <n v="8"/>
    <n v="8320"/>
    <n v="1867.61"/>
    <x v="3"/>
    <x v="1"/>
    <x v="11"/>
    <n v="2025"/>
    <s v="Q2"/>
    <n v="0.22447235576923075"/>
    <s v="HIGH"/>
    <n v="0.2"/>
  </r>
  <r>
    <n v="10734"/>
    <s v="23-Feb-2025"/>
    <x v="35"/>
    <x v="5"/>
    <s v="Karnataka"/>
    <x v="1"/>
    <s v="Paper"/>
    <s v="Printer Paper"/>
    <n v="3"/>
    <n v="7542.9"/>
    <n v="1078.99"/>
    <x v="0"/>
    <x v="1"/>
    <x v="1"/>
    <n v="2025"/>
    <s v="Q1"/>
    <n v="0.14304710389903089"/>
    <s v="HIGH"/>
    <n v="0.15"/>
  </r>
  <r>
    <n v="10735"/>
    <s v="26-Feb-2025"/>
    <x v="101"/>
    <x v="1"/>
    <s v="Tamil Nadu"/>
    <x v="1"/>
    <s v="Stationery"/>
    <s v="Pen"/>
    <n v="5"/>
    <n v="10140"/>
    <n v="1412.65"/>
    <x v="2"/>
    <x v="4"/>
    <x v="1"/>
    <n v="2025"/>
    <s v="Q1"/>
    <n v="0.13931459566074952"/>
    <s v="HIGH"/>
    <n v="0"/>
  </r>
  <r>
    <n v="10736"/>
    <s v="15-Jan-2025"/>
    <x v="96"/>
    <x v="5"/>
    <s v="Karnataka"/>
    <x v="0"/>
    <s v="Computers"/>
    <s v="Laptop"/>
    <n v="3"/>
    <n v="405"/>
    <n v="54.92"/>
    <x v="2"/>
    <x v="3"/>
    <x v="0"/>
    <n v="2025"/>
    <s v="Q1"/>
    <n v="0.13560493827160494"/>
    <s v="LOW"/>
    <n v="0"/>
  </r>
  <r>
    <n v="10737"/>
    <s v="18-May-2025"/>
    <x v="110"/>
    <x v="2"/>
    <s v="West Bengal"/>
    <x v="2"/>
    <s v="Living Room"/>
    <s v="Sofa"/>
    <n v="3"/>
    <n v="9538.9500000000007"/>
    <n v="2546.1799999999998"/>
    <x v="4"/>
    <x v="2"/>
    <x v="6"/>
    <n v="2025"/>
    <s v="Q2"/>
    <n v="0.2669245566860084"/>
    <s v="HIGH"/>
    <n v="0.05"/>
  </r>
  <r>
    <n v="10738"/>
    <s v="16-Aug-2025"/>
    <x v="15"/>
    <x v="0"/>
    <s v="Maharashtra"/>
    <x v="0"/>
    <s v="Audio"/>
    <s v="Headphones"/>
    <n v="6"/>
    <n v="14147.4"/>
    <n v="2627.76"/>
    <x v="4"/>
    <x v="3"/>
    <x v="5"/>
    <n v="2025"/>
    <s v="Q3"/>
    <n v="0.18574154968404091"/>
    <s v="HIGH"/>
    <n v="0.05"/>
  </r>
  <r>
    <n v="10739"/>
    <s v="20-Oct-2025"/>
    <x v="82"/>
    <x v="6"/>
    <s v="Maharashtra"/>
    <x v="2"/>
    <s v="Office"/>
    <s v="Desk"/>
    <n v="5"/>
    <n v="2047.25"/>
    <n v="251.6"/>
    <x v="4"/>
    <x v="1"/>
    <x v="7"/>
    <n v="2025"/>
    <s v="Q4"/>
    <n v="0.12289656856759067"/>
    <s v="MEDIUM"/>
    <n v="0.05"/>
  </r>
  <r>
    <n v="10740"/>
    <s v="16-Aug-2025"/>
    <x v="138"/>
    <x v="0"/>
    <s v="Maharashtra"/>
    <x v="2"/>
    <s v="Office"/>
    <s v="Desk"/>
    <n v="4"/>
    <n v="10470.4"/>
    <n v="866.44"/>
    <x v="3"/>
    <x v="1"/>
    <x v="5"/>
    <n v="2025"/>
    <s v="Q3"/>
    <n v="8.2751375305623487E-2"/>
    <s v="HIGH"/>
    <n v="0.2"/>
  </r>
  <r>
    <n v="10741"/>
    <s v="18-Jan-2025"/>
    <x v="28"/>
    <x v="5"/>
    <s v="Karnataka"/>
    <x v="1"/>
    <s v="Stationery"/>
    <s v="Marker"/>
    <n v="2"/>
    <n v="520"/>
    <n v="51.59"/>
    <x v="2"/>
    <x v="1"/>
    <x v="0"/>
    <n v="2025"/>
    <s v="Q1"/>
    <n v="9.9211538461538462E-2"/>
    <s v="LOW"/>
    <n v="0"/>
  </r>
  <r>
    <n v="10742"/>
    <s v="02-Oct-2025"/>
    <x v="100"/>
    <x v="3"/>
    <s v="Gujarat"/>
    <x v="2"/>
    <s v="Living Room"/>
    <s v="Sofa"/>
    <n v="7"/>
    <n v="30576.7"/>
    <n v="8870.25"/>
    <x v="4"/>
    <x v="3"/>
    <x v="7"/>
    <n v="2025"/>
    <s v="Q4"/>
    <n v="0.29009834285583469"/>
    <s v="HIGH"/>
    <n v="0.05"/>
  </r>
  <r>
    <n v="10743"/>
    <s v="01-Sep-2025"/>
    <x v="110"/>
    <x v="4"/>
    <s v="Telangana"/>
    <x v="0"/>
    <s v="Audio"/>
    <s v="Headphones"/>
    <n v="3"/>
    <n v="1899.75"/>
    <n v="329.4"/>
    <x v="0"/>
    <x v="0"/>
    <x v="3"/>
    <n v="2025"/>
    <s v="Q3"/>
    <n v="0.17339123568890644"/>
    <s v="MEDIUM"/>
    <n v="0.15"/>
  </r>
  <r>
    <n v="10744"/>
    <s v="11-May-2025"/>
    <x v="53"/>
    <x v="2"/>
    <s v="West Bengal"/>
    <x v="1"/>
    <s v="Paper"/>
    <s v="Printer Paper"/>
    <n v="8"/>
    <n v="33250"/>
    <n v="3030.22"/>
    <x v="4"/>
    <x v="1"/>
    <x v="6"/>
    <n v="2025"/>
    <s v="Q2"/>
    <n v="9.1134436090225562E-2"/>
    <s v="HIGH"/>
    <n v="0.05"/>
  </r>
  <r>
    <n v="10745"/>
    <s v="12-Sep-2025"/>
    <x v="95"/>
    <x v="0"/>
    <s v="Maharashtra"/>
    <x v="2"/>
    <s v="Chairs"/>
    <s v="Chair"/>
    <n v="7"/>
    <n v="23083.200000000001"/>
    <n v="6272.04"/>
    <x v="3"/>
    <x v="0"/>
    <x v="3"/>
    <n v="2025"/>
    <s v="Q3"/>
    <n v="0.2717144936577251"/>
    <s v="HIGH"/>
    <n v="0.2"/>
  </r>
  <r>
    <n v="10746"/>
    <s v="06-Aug-2025"/>
    <x v="103"/>
    <x v="6"/>
    <s v="Maharashtra"/>
    <x v="2"/>
    <s v="Office"/>
    <s v="Desk"/>
    <n v="8"/>
    <n v="27576"/>
    <n v="5855.99"/>
    <x v="1"/>
    <x v="3"/>
    <x v="5"/>
    <n v="2025"/>
    <s v="Q3"/>
    <n v="0.21235821003771393"/>
    <s v="HIGH"/>
    <n v="0.1"/>
  </r>
  <r>
    <n v="10747"/>
    <s v="02-Jul-2025"/>
    <x v="144"/>
    <x v="0"/>
    <s v="Maharashtra"/>
    <x v="0"/>
    <s v="Audio"/>
    <s v="Headphones"/>
    <n v="2"/>
    <n v="4117.3999999999996"/>
    <n v="647.30999999999995"/>
    <x v="0"/>
    <x v="2"/>
    <x v="2"/>
    <n v="2025"/>
    <s v="Q3"/>
    <n v="0.15721328994025355"/>
    <s v="MEDIUM"/>
    <n v="0.15"/>
  </r>
  <r>
    <n v="10748"/>
    <s v="07-Jun-2025"/>
    <x v="114"/>
    <x v="6"/>
    <s v="Maharashtra"/>
    <x v="1"/>
    <s v="Stationery"/>
    <s v="Marker"/>
    <n v="3"/>
    <n v="11253.15"/>
    <n v="2671.08"/>
    <x v="0"/>
    <x v="1"/>
    <x v="11"/>
    <n v="2025"/>
    <s v="Q2"/>
    <n v="0.23736287172924914"/>
    <s v="HIGH"/>
    <n v="0.15"/>
  </r>
  <r>
    <n v="10749"/>
    <s v="24-Jul-2025"/>
    <x v="38"/>
    <x v="4"/>
    <s v="Telangana"/>
    <x v="2"/>
    <s v="Office"/>
    <s v="Desk"/>
    <n v="8"/>
    <n v="27641.200000000001"/>
    <n v="8205.9599999999991"/>
    <x v="4"/>
    <x v="1"/>
    <x v="2"/>
    <n v="2025"/>
    <s v="Q3"/>
    <n v="0.29687423122006279"/>
    <s v="HIGH"/>
    <n v="0.05"/>
  </r>
  <r>
    <n v="10750"/>
    <s v="25-Apr-2025"/>
    <x v="137"/>
    <x v="6"/>
    <s v="Maharashtra"/>
    <x v="2"/>
    <s v="Office"/>
    <s v="Desk"/>
    <n v="1"/>
    <n v="2456"/>
    <n v="613.58000000000004"/>
    <x v="3"/>
    <x v="4"/>
    <x v="4"/>
    <n v="2025"/>
    <s v="Q2"/>
    <n v="0.24982899022801305"/>
    <s v="MEDIUM"/>
    <n v="0.2"/>
  </r>
  <r>
    <n v="10751"/>
    <s v="24-Aug-2025"/>
    <x v="109"/>
    <x v="0"/>
    <s v="Maharashtra"/>
    <x v="0"/>
    <s v="Accessories"/>
    <s v="Keyboard"/>
    <n v="1"/>
    <n v="4497"/>
    <n v="819.83"/>
    <x v="2"/>
    <x v="4"/>
    <x v="5"/>
    <n v="2025"/>
    <s v="Q3"/>
    <n v="0.18230598176562154"/>
    <s v="MEDIUM"/>
    <n v="0"/>
  </r>
  <r>
    <n v="10752"/>
    <s v="08-Mar-2025"/>
    <x v="164"/>
    <x v="3"/>
    <s v="Gujarat"/>
    <x v="0"/>
    <s v="Audio"/>
    <s v="Headphones"/>
    <n v="8"/>
    <n v="35944"/>
    <n v="7830.89"/>
    <x v="2"/>
    <x v="0"/>
    <x v="8"/>
    <n v="2025"/>
    <s v="Q1"/>
    <n v="0.21786362118851549"/>
    <s v="HIGH"/>
    <n v="0"/>
  </r>
  <r>
    <n v="10753"/>
    <s v="27-Jun-2025"/>
    <x v="194"/>
    <x v="5"/>
    <s v="Karnataka"/>
    <x v="1"/>
    <s v="Paper"/>
    <s v="Printer Paper"/>
    <n v="1"/>
    <n v="3872"/>
    <n v="618.13"/>
    <x v="3"/>
    <x v="2"/>
    <x v="11"/>
    <n v="2025"/>
    <s v="Q2"/>
    <n v="0.1596410123966942"/>
    <s v="MEDIUM"/>
    <n v="0.2"/>
  </r>
  <r>
    <n v="10754"/>
    <s v="13-Jun-2025"/>
    <x v="21"/>
    <x v="1"/>
    <s v="Tamil Nadu"/>
    <x v="0"/>
    <s v="Accessories"/>
    <s v="Mouse"/>
    <n v="5"/>
    <n v="20650"/>
    <n v="5902.06"/>
    <x v="2"/>
    <x v="2"/>
    <x v="11"/>
    <n v="2025"/>
    <s v="Q2"/>
    <n v="0.28581404358353513"/>
    <s v="HIGH"/>
    <n v="0"/>
  </r>
  <r>
    <n v="10755"/>
    <s v="08-Jan-2025"/>
    <x v="170"/>
    <x v="2"/>
    <s v="West Bengal"/>
    <x v="0"/>
    <s v="Accessories"/>
    <s v="Mouse"/>
    <n v="3"/>
    <n v="6069"/>
    <n v="897.11"/>
    <x v="2"/>
    <x v="3"/>
    <x v="0"/>
    <n v="2025"/>
    <s v="Q1"/>
    <n v="0.14781842148624155"/>
    <s v="HIGH"/>
    <n v="0"/>
  </r>
  <r>
    <n v="10756"/>
    <s v="27-Jun-2025"/>
    <x v="41"/>
    <x v="0"/>
    <s v="Maharashtra"/>
    <x v="1"/>
    <s v="Stationery"/>
    <s v="Notebook"/>
    <n v="1"/>
    <n v="1704"/>
    <n v="395.42"/>
    <x v="2"/>
    <x v="4"/>
    <x v="11"/>
    <n v="2025"/>
    <s v="Q2"/>
    <n v="0.23205399061032864"/>
    <s v="MEDIUM"/>
    <n v="0"/>
  </r>
  <r>
    <n v="10757"/>
    <s v="22-May-2025"/>
    <x v="42"/>
    <x v="1"/>
    <s v="Tamil Nadu"/>
    <x v="2"/>
    <s v="Chairs"/>
    <s v="Chair"/>
    <n v="3"/>
    <n v="10354.5"/>
    <n v="2815.97"/>
    <x v="1"/>
    <x v="3"/>
    <x v="6"/>
    <n v="2025"/>
    <s v="Q2"/>
    <n v="0.27195615432903569"/>
    <s v="HIGH"/>
    <n v="0.1"/>
  </r>
  <r>
    <n v="10758"/>
    <s v="12-Aug-2025"/>
    <x v="121"/>
    <x v="3"/>
    <s v="Gujarat"/>
    <x v="1"/>
    <s v="Stationery"/>
    <s v="Pen"/>
    <n v="7"/>
    <n v="17183.599999999999"/>
    <n v="2444.0300000000002"/>
    <x v="4"/>
    <x v="1"/>
    <x v="5"/>
    <n v="2025"/>
    <s v="Q3"/>
    <n v="0.14223038245769223"/>
    <s v="HIGH"/>
    <n v="0.05"/>
  </r>
  <r>
    <n v="10759"/>
    <s v="29-Sep-2025"/>
    <x v="81"/>
    <x v="1"/>
    <s v="Tamil Nadu"/>
    <x v="0"/>
    <s v="Accessories"/>
    <s v="Keyboard"/>
    <n v="1"/>
    <n v="3920"/>
    <n v="331.29"/>
    <x v="3"/>
    <x v="0"/>
    <x v="3"/>
    <n v="2025"/>
    <s v="Q3"/>
    <n v="8.4512755102040815E-2"/>
    <s v="MEDIUM"/>
    <n v="0.2"/>
  </r>
  <r>
    <n v="10760"/>
    <s v="17-May-2025"/>
    <x v="149"/>
    <x v="4"/>
    <s v="Telangana"/>
    <x v="1"/>
    <s v="Stationery"/>
    <s v="Marker"/>
    <n v="7"/>
    <n v="19511.099999999999"/>
    <n v="5650.67"/>
    <x v="1"/>
    <x v="3"/>
    <x v="6"/>
    <n v="2025"/>
    <s v="Q2"/>
    <n v="0.28961309203479046"/>
    <s v="HIGH"/>
    <n v="0.1"/>
  </r>
  <r>
    <n v="10761"/>
    <s v="08-Feb-2025"/>
    <x v="98"/>
    <x v="6"/>
    <s v="Maharashtra"/>
    <x v="0"/>
    <s v="Accessories"/>
    <s v="Mouse"/>
    <n v="4"/>
    <n v="11667.6"/>
    <n v="2816.38"/>
    <x v="1"/>
    <x v="1"/>
    <x v="1"/>
    <n v="2025"/>
    <s v="Q1"/>
    <n v="0.241384689224862"/>
    <s v="HIGH"/>
    <n v="0.1"/>
  </r>
  <r>
    <n v="10762"/>
    <s v="23-Dec-2025"/>
    <x v="139"/>
    <x v="5"/>
    <s v="Karnataka"/>
    <x v="2"/>
    <s v="Tables"/>
    <s v="Table"/>
    <n v="6"/>
    <n v="22909.200000000001"/>
    <n v="2548.7399999999998"/>
    <x v="0"/>
    <x v="4"/>
    <x v="9"/>
    <n v="2025"/>
    <s v="Q4"/>
    <n v="0.11125399402859985"/>
    <s v="HIGH"/>
    <n v="0.15"/>
  </r>
  <r>
    <n v="10763"/>
    <s v="22-May-2025"/>
    <x v="145"/>
    <x v="5"/>
    <s v="Karnataka"/>
    <x v="0"/>
    <s v="Computers"/>
    <s v="Laptop"/>
    <n v="2"/>
    <n v="5473.9"/>
    <n v="1573.11"/>
    <x v="4"/>
    <x v="2"/>
    <x v="6"/>
    <n v="2025"/>
    <s v="Q2"/>
    <n v="0.28738376660150899"/>
    <s v="HIGH"/>
    <n v="0.05"/>
  </r>
  <r>
    <n v="10764"/>
    <s v="22-Mar-2025"/>
    <x v="47"/>
    <x v="6"/>
    <s v="Maharashtra"/>
    <x v="0"/>
    <s v="Accessories"/>
    <s v="Keyboard"/>
    <n v="6"/>
    <n v="22410"/>
    <n v="4064.2"/>
    <x v="2"/>
    <x v="3"/>
    <x v="8"/>
    <n v="2025"/>
    <s v="Q1"/>
    <n v="0.18135653726015172"/>
    <s v="HIGH"/>
    <n v="0"/>
  </r>
  <r>
    <n v="10765"/>
    <s v="01-Oct-2025"/>
    <x v="6"/>
    <x v="4"/>
    <s v="Telangana"/>
    <x v="1"/>
    <s v="Paper"/>
    <s v="Printer Paper"/>
    <n v="7"/>
    <n v="8719.2000000000007"/>
    <n v="1565.29"/>
    <x v="3"/>
    <x v="3"/>
    <x v="7"/>
    <n v="2025"/>
    <s v="Q4"/>
    <n v="0.17952220387191484"/>
    <s v="HIGH"/>
    <n v="0.2"/>
  </r>
  <r>
    <n v="10766"/>
    <s v="27-Jul-2025"/>
    <x v="27"/>
    <x v="0"/>
    <s v="Maharashtra"/>
    <x v="2"/>
    <s v="Living Room"/>
    <s v="Sofa"/>
    <n v="6"/>
    <n v="16824.900000000001"/>
    <n v="3604.17"/>
    <x v="0"/>
    <x v="1"/>
    <x v="2"/>
    <n v="2025"/>
    <s v="Q3"/>
    <n v="0.21421642922097603"/>
    <s v="HIGH"/>
    <n v="0.15"/>
  </r>
  <r>
    <n v="10767"/>
    <s v="29-Jan-2025"/>
    <x v="47"/>
    <x v="4"/>
    <s v="Telangana"/>
    <x v="2"/>
    <s v="Tables"/>
    <s v="Table"/>
    <n v="2"/>
    <n v="2260.8000000000002"/>
    <n v="616.41999999999996"/>
    <x v="1"/>
    <x v="2"/>
    <x v="0"/>
    <n v="2025"/>
    <s v="Q1"/>
    <n v="0.27265569709837223"/>
    <s v="MEDIUM"/>
    <n v="0.1"/>
  </r>
  <r>
    <n v="10768"/>
    <s v="16-Sep-2025"/>
    <x v="142"/>
    <x v="4"/>
    <s v="Telangana"/>
    <x v="0"/>
    <s v="Audio"/>
    <s v="Headphones"/>
    <n v="5"/>
    <n v="18684"/>
    <n v="1998.82"/>
    <x v="3"/>
    <x v="4"/>
    <x v="3"/>
    <n v="2025"/>
    <s v="Q3"/>
    <n v="0.10698030400342538"/>
    <s v="HIGH"/>
    <n v="0.2"/>
  </r>
  <r>
    <n v="10769"/>
    <s v="15-Jan-2025"/>
    <x v="66"/>
    <x v="7"/>
    <s v="Delhi"/>
    <x v="1"/>
    <s v="Stationery"/>
    <s v="Marker"/>
    <n v="1"/>
    <n v="1952.8"/>
    <n v="284.25"/>
    <x v="3"/>
    <x v="3"/>
    <x v="0"/>
    <n v="2025"/>
    <s v="Q1"/>
    <n v="0.14556022122081114"/>
    <s v="MEDIUM"/>
    <n v="0.2"/>
  </r>
  <r>
    <n v="10770"/>
    <s v="22-Oct-2025"/>
    <x v="178"/>
    <x v="4"/>
    <s v="Telangana"/>
    <x v="1"/>
    <s v="Stationery"/>
    <s v="Marker"/>
    <n v="7"/>
    <n v="19076.400000000001"/>
    <n v="5524.58"/>
    <x v="1"/>
    <x v="0"/>
    <x v="7"/>
    <n v="2025"/>
    <s v="Q4"/>
    <n v="0.28960286007842145"/>
    <s v="HIGH"/>
    <n v="0.1"/>
  </r>
  <r>
    <n v="10771"/>
    <s v="03-May-2025"/>
    <x v="40"/>
    <x v="3"/>
    <s v="Gujarat"/>
    <x v="1"/>
    <s v="Stationery"/>
    <s v="Marker"/>
    <n v="2"/>
    <n v="6542.4"/>
    <n v="1203.71"/>
    <x v="3"/>
    <x v="4"/>
    <x v="6"/>
    <n v="2025"/>
    <s v="Q2"/>
    <n v="0.18398599902176574"/>
    <s v="HIGH"/>
    <n v="0.2"/>
  </r>
  <r>
    <n v="10772"/>
    <s v="05-Nov-2025"/>
    <x v="75"/>
    <x v="5"/>
    <s v="Karnataka"/>
    <x v="2"/>
    <s v="Living Room"/>
    <s v="Sofa"/>
    <n v="8"/>
    <n v="19616"/>
    <n v="3623.56"/>
    <x v="3"/>
    <x v="0"/>
    <x v="10"/>
    <n v="2025"/>
    <s v="Q4"/>
    <n v="0.18472471451876019"/>
    <s v="HIGH"/>
    <n v="0.2"/>
  </r>
  <r>
    <n v="10773"/>
    <s v="03-Apr-2025"/>
    <x v="113"/>
    <x v="4"/>
    <s v="Telangana"/>
    <x v="1"/>
    <s v="Paper"/>
    <s v="Printer Paper"/>
    <n v="6"/>
    <n v="12636"/>
    <n v="3262"/>
    <x v="2"/>
    <x v="0"/>
    <x v="4"/>
    <n v="2025"/>
    <s v="Q2"/>
    <n v="0.25815131370686928"/>
    <s v="HIGH"/>
    <n v="0"/>
  </r>
  <r>
    <n v="10774"/>
    <s v="16-Oct-2025"/>
    <x v="156"/>
    <x v="7"/>
    <s v="Delhi"/>
    <x v="0"/>
    <s v="Computers"/>
    <s v="Laptop"/>
    <n v="5"/>
    <n v="19585"/>
    <n v="3109.75"/>
    <x v="2"/>
    <x v="3"/>
    <x v="7"/>
    <n v="2025"/>
    <s v="Q4"/>
    <n v="0.15878223129946387"/>
    <s v="HIGH"/>
    <n v="0"/>
  </r>
  <r>
    <n v="10775"/>
    <s v="30-Sep-2025"/>
    <x v="24"/>
    <x v="7"/>
    <s v="Delhi"/>
    <x v="0"/>
    <s v="Audio"/>
    <s v="Headphones"/>
    <n v="8"/>
    <n v="12825.6"/>
    <n v="2821.29"/>
    <x v="3"/>
    <x v="0"/>
    <x v="3"/>
    <n v="2025"/>
    <s v="Q3"/>
    <n v="0.21997333458083831"/>
    <s v="HIGH"/>
    <n v="0.2"/>
  </r>
  <r>
    <n v="10776"/>
    <s v="28-Nov-2025"/>
    <x v="88"/>
    <x v="5"/>
    <s v="Karnataka"/>
    <x v="2"/>
    <s v="Tables"/>
    <s v="Table"/>
    <n v="6"/>
    <n v="26919"/>
    <n v="6778.65"/>
    <x v="1"/>
    <x v="2"/>
    <x v="10"/>
    <n v="2025"/>
    <s v="Q4"/>
    <n v="0.25181656079349157"/>
    <s v="HIGH"/>
    <n v="0.1"/>
  </r>
  <r>
    <n v="10777"/>
    <s v="22-Nov-2025"/>
    <x v="11"/>
    <x v="5"/>
    <s v="Karnataka"/>
    <x v="2"/>
    <s v="Chairs"/>
    <s v="Chair"/>
    <n v="4"/>
    <n v="13824"/>
    <n v="3002.26"/>
    <x v="2"/>
    <x v="3"/>
    <x v="10"/>
    <n v="2025"/>
    <s v="Q4"/>
    <n v="0.21717737268518519"/>
    <s v="HIGH"/>
    <n v="0"/>
  </r>
  <r>
    <n v="10778"/>
    <s v="04-Mar-2025"/>
    <x v="49"/>
    <x v="7"/>
    <s v="Delhi"/>
    <x v="2"/>
    <s v="Chairs"/>
    <s v="Chair"/>
    <n v="5"/>
    <n v="19760"/>
    <n v="4153.1899999999996"/>
    <x v="3"/>
    <x v="0"/>
    <x v="8"/>
    <n v="2025"/>
    <s v="Q1"/>
    <n v="0.2101816801619433"/>
    <s v="HIGH"/>
    <n v="0.2"/>
  </r>
  <r>
    <n v="10779"/>
    <s v="20-Sep-2025"/>
    <x v="168"/>
    <x v="4"/>
    <s v="Telangana"/>
    <x v="2"/>
    <s v="Tables"/>
    <s v="Table"/>
    <n v="1"/>
    <n v="1621.6"/>
    <n v="220.9"/>
    <x v="3"/>
    <x v="4"/>
    <x v="3"/>
    <n v="2025"/>
    <s v="Q3"/>
    <n v="0.13622348297977308"/>
    <s v="MEDIUM"/>
    <n v="0.2"/>
  </r>
  <r>
    <n v="10780"/>
    <s v="07-May-2025"/>
    <x v="58"/>
    <x v="4"/>
    <s v="Telangana"/>
    <x v="0"/>
    <s v="Audio"/>
    <s v="Headphones"/>
    <n v="7"/>
    <n v="15160.6"/>
    <n v="4533.93"/>
    <x v="0"/>
    <x v="1"/>
    <x v="6"/>
    <n v="2025"/>
    <s v="Q2"/>
    <n v="0.29906006358587395"/>
    <s v="HIGH"/>
    <n v="0.15"/>
  </r>
  <r>
    <n v="10781"/>
    <s v="18-Apr-2025"/>
    <x v="14"/>
    <x v="4"/>
    <s v="Telangana"/>
    <x v="0"/>
    <s v="Accessories"/>
    <s v="Mouse"/>
    <n v="7"/>
    <n v="17899"/>
    <n v="1853.08"/>
    <x v="2"/>
    <x v="1"/>
    <x v="4"/>
    <n v="2025"/>
    <s v="Q2"/>
    <n v="0.10352980613442091"/>
    <s v="HIGH"/>
    <n v="0"/>
  </r>
  <r>
    <n v="10782"/>
    <s v="22-Jun-2025"/>
    <x v="20"/>
    <x v="2"/>
    <s v="West Bengal"/>
    <x v="0"/>
    <s v="Computers"/>
    <s v="Laptop"/>
    <n v="2"/>
    <n v="6715.2"/>
    <n v="1845.14"/>
    <x v="3"/>
    <x v="3"/>
    <x v="11"/>
    <n v="2025"/>
    <s v="Q2"/>
    <n v="0.27477066952585183"/>
    <s v="HIGH"/>
    <n v="0.2"/>
  </r>
  <r>
    <n v="10783"/>
    <s v="12-Nov-2025"/>
    <x v="34"/>
    <x v="2"/>
    <s v="West Bengal"/>
    <x v="2"/>
    <s v="Living Room"/>
    <s v="Sofa"/>
    <n v="1"/>
    <n v="1280.8"/>
    <n v="339.47"/>
    <x v="3"/>
    <x v="4"/>
    <x v="10"/>
    <n v="2025"/>
    <s v="Q4"/>
    <n v="0.26504528419737666"/>
    <s v="MEDIUM"/>
    <n v="0.2"/>
  </r>
  <r>
    <n v="10784"/>
    <s v="30-Apr-2025"/>
    <x v="44"/>
    <x v="3"/>
    <s v="Gujarat"/>
    <x v="0"/>
    <s v="Computers"/>
    <s v="Laptop"/>
    <n v="4"/>
    <n v="5756.8"/>
    <n v="1589.65"/>
    <x v="3"/>
    <x v="3"/>
    <x v="4"/>
    <n v="2025"/>
    <s v="Q2"/>
    <n v="0.27613431072818234"/>
    <s v="HIGH"/>
    <n v="0.2"/>
  </r>
  <r>
    <n v="10785"/>
    <s v="30-Jun-2025"/>
    <x v="93"/>
    <x v="5"/>
    <s v="Karnataka"/>
    <x v="1"/>
    <s v="Stationery"/>
    <s v="Pen"/>
    <n v="2"/>
    <n v="2900.8"/>
    <n v="387.81"/>
    <x v="3"/>
    <x v="4"/>
    <x v="11"/>
    <n v="2025"/>
    <s v="Q2"/>
    <n v="0.13369070601213456"/>
    <s v="MEDIUM"/>
    <n v="0.2"/>
  </r>
  <r>
    <n v="10786"/>
    <s v="25-Dec-2025"/>
    <x v="59"/>
    <x v="3"/>
    <s v="Gujarat"/>
    <x v="1"/>
    <s v="Stationery"/>
    <s v="Marker"/>
    <n v="5"/>
    <n v="1635"/>
    <n v="273.82"/>
    <x v="2"/>
    <x v="1"/>
    <x v="9"/>
    <n v="2025"/>
    <s v="Q4"/>
    <n v="0.16747400611620794"/>
    <s v="MEDIUM"/>
    <n v="0"/>
  </r>
  <r>
    <n v="10787"/>
    <s v="10-May-2025"/>
    <x v="91"/>
    <x v="1"/>
    <s v="Tamil Nadu"/>
    <x v="2"/>
    <s v="Living Room"/>
    <s v="Sofa"/>
    <n v="4"/>
    <n v="9133.2000000000007"/>
    <n v="1163.47"/>
    <x v="1"/>
    <x v="3"/>
    <x v="6"/>
    <n v="2025"/>
    <s v="Q2"/>
    <n v="0.12738908597205797"/>
    <s v="HIGH"/>
    <n v="0.1"/>
  </r>
  <r>
    <n v="10788"/>
    <s v="27-Apr-2025"/>
    <x v="7"/>
    <x v="6"/>
    <s v="Maharashtra"/>
    <x v="2"/>
    <s v="Tables"/>
    <s v="Table"/>
    <n v="2"/>
    <n v="3155.4"/>
    <n v="685.26"/>
    <x v="1"/>
    <x v="2"/>
    <x v="4"/>
    <n v="2025"/>
    <s v="Q2"/>
    <n v="0.21717056474614946"/>
    <s v="MEDIUM"/>
    <n v="0.1"/>
  </r>
  <r>
    <n v="10789"/>
    <s v="29-Dec-2025"/>
    <x v="9"/>
    <x v="0"/>
    <s v="Maharashtra"/>
    <x v="2"/>
    <s v="Office"/>
    <s v="Desk"/>
    <n v="8"/>
    <n v="1223.5999999999999"/>
    <n v="249.28"/>
    <x v="4"/>
    <x v="1"/>
    <x v="9"/>
    <n v="2025"/>
    <s v="Q4"/>
    <n v="0.20372670807453419"/>
    <s v="MEDIUM"/>
    <n v="0.05"/>
  </r>
  <r>
    <n v="10790"/>
    <s v="22-May-2025"/>
    <x v="67"/>
    <x v="0"/>
    <s v="Maharashtra"/>
    <x v="1"/>
    <s v="Stationery"/>
    <s v="Marker"/>
    <n v="6"/>
    <n v="9489.6"/>
    <n v="1281.2"/>
    <x v="3"/>
    <x v="0"/>
    <x v="6"/>
    <n v="2025"/>
    <s v="Q2"/>
    <n v="0.13501095936604282"/>
    <s v="HIGH"/>
    <n v="0.2"/>
  </r>
  <r>
    <n v="10791"/>
    <s v="12-Nov-2025"/>
    <x v="108"/>
    <x v="2"/>
    <s v="West Bengal"/>
    <x v="0"/>
    <s v="Accessories"/>
    <s v="Keyboard"/>
    <n v="4"/>
    <n v="4120.8"/>
    <n v="825.92"/>
    <x v="0"/>
    <x v="3"/>
    <x v="10"/>
    <n v="2025"/>
    <s v="Q4"/>
    <n v="0.20042710153368276"/>
    <s v="MEDIUM"/>
    <n v="0.15"/>
  </r>
  <r>
    <n v="10792"/>
    <s v="12-Sep-2025"/>
    <x v="28"/>
    <x v="1"/>
    <s v="Tamil Nadu"/>
    <x v="0"/>
    <s v="Audio"/>
    <s v="Headphones"/>
    <n v="5"/>
    <n v="5314.5"/>
    <n v="853.86"/>
    <x v="1"/>
    <x v="4"/>
    <x v="3"/>
    <n v="2025"/>
    <s v="Q3"/>
    <n v="0.16066610217329946"/>
    <s v="HIGH"/>
    <n v="0.1"/>
  </r>
  <r>
    <n v="10793"/>
    <s v="29-Jul-2025"/>
    <x v="115"/>
    <x v="6"/>
    <s v="Maharashtra"/>
    <x v="1"/>
    <s v="Stationery"/>
    <s v="Marker"/>
    <n v="5"/>
    <n v="21445"/>
    <n v="6271.98"/>
    <x v="2"/>
    <x v="0"/>
    <x v="2"/>
    <n v="2025"/>
    <s v="Q3"/>
    <n v="0.29246817439962691"/>
    <s v="HIGH"/>
    <n v="0"/>
  </r>
  <r>
    <n v="10794"/>
    <s v="19-Apr-2025"/>
    <x v="153"/>
    <x v="0"/>
    <s v="Maharashtra"/>
    <x v="2"/>
    <s v="Chairs"/>
    <s v="Chair"/>
    <n v="8"/>
    <n v="19792"/>
    <n v="3396.47"/>
    <x v="2"/>
    <x v="1"/>
    <x v="4"/>
    <n v="2025"/>
    <s v="Q2"/>
    <n v="0.17160822554567501"/>
    <s v="HIGH"/>
    <n v="0"/>
  </r>
  <r>
    <n v="10795"/>
    <s v="12-Sep-2025"/>
    <x v="182"/>
    <x v="0"/>
    <s v="Maharashtra"/>
    <x v="1"/>
    <s v="Stationery"/>
    <s v="Marker"/>
    <n v="3"/>
    <n v="8134.5"/>
    <n v="719.21"/>
    <x v="0"/>
    <x v="0"/>
    <x v="3"/>
    <n v="2025"/>
    <s v="Q3"/>
    <n v="8.8414776568934789E-2"/>
    <s v="HIGH"/>
    <n v="0.15"/>
  </r>
  <r>
    <n v="10796"/>
    <s v="19-Dec-2025"/>
    <x v="91"/>
    <x v="5"/>
    <s v="Karnataka"/>
    <x v="1"/>
    <s v="Paper"/>
    <s v="Printer Paper"/>
    <n v="2"/>
    <n v="4849.2"/>
    <n v="1310.6300000000001"/>
    <x v="1"/>
    <x v="4"/>
    <x v="9"/>
    <n v="2025"/>
    <s v="Q4"/>
    <n v="0.27027757155819521"/>
    <s v="MEDIUM"/>
    <n v="0.1"/>
  </r>
  <r>
    <n v="10797"/>
    <s v="16-May-2025"/>
    <x v="168"/>
    <x v="7"/>
    <s v="Delhi"/>
    <x v="1"/>
    <s v="Stationery"/>
    <s v="Marker"/>
    <n v="6"/>
    <n v="17852.400000000001"/>
    <n v="3822.53"/>
    <x v="4"/>
    <x v="0"/>
    <x v="6"/>
    <n v="2025"/>
    <s v="Q2"/>
    <n v="0.21411854988684995"/>
    <s v="HIGH"/>
    <n v="0.05"/>
  </r>
  <r>
    <n v="10798"/>
    <s v="02-Oct-2025"/>
    <x v="148"/>
    <x v="2"/>
    <s v="West Bengal"/>
    <x v="0"/>
    <s v="Computers"/>
    <s v="Laptop"/>
    <n v="2"/>
    <n v="1092"/>
    <n v="256.49"/>
    <x v="2"/>
    <x v="1"/>
    <x v="7"/>
    <n v="2025"/>
    <s v="Q4"/>
    <n v="0.23488095238095238"/>
    <s v="MEDIUM"/>
    <n v="0"/>
  </r>
  <r>
    <n v="10799"/>
    <s v="19-Nov-2025"/>
    <x v="8"/>
    <x v="7"/>
    <s v="Delhi"/>
    <x v="2"/>
    <s v="Tables"/>
    <s v="Table"/>
    <n v="5"/>
    <n v="22063.75"/>
    <n v="3868.87"/>
    <x v="4"/>
    <x v="3"/>
    <x v="10"/>
    <n v="2025"/>
    <s v="Q4"/>
    <n v="0.17534961192000453"/>
    <s v="HIGH"/>
    <n v="0.05"/>
  </r>
  <r>
    <n v="10800"/>
    <s v="09-Feb-2025"/>
    <x v="34"/>
    <x v="0"/>
    <s v="Maharashtra"/>
    <x v="2"/>
    <s v="Living Room"/>
    <s v="Sofa"/>
    <n v="3"/>
    <n v="10421.85"/>
    <n v="2526.58"/>
    <x v="0"/>
    <x v="3"/>
    <x v="1"/>
    <n v="2025"/>
    <s v="Q1"/>
    <n v="0.24243104631135545"/>
    <s v="HIGH"/>
    <n v="0.15"/>
  </r>
  <r>
    <n v="10801"/>
    <s v="06-Dec-2025"/>
    <x v="127"/>
    <x v="5"/>
    <s v="Karnataka"/>
    <x v="0"/>
    <s v="Accessories"/>
    <s v="Keyboard"/>
    <n v="4"/>
    <n v="5104"/>
    <n v="788.56"/>
    <x v="3"/>
    <x v="3"/>
    <x v="9"/>
    <n v="2025"/>
    <s v="Q4"/>
    <n v="0.15449843260188087"/>
    <s v="HIGH"/>
    <n v="0.2"/>
  </r>
  <r>
    <n v="10802"/>
    <s v="11-Jun-2025"/>
    <x v="45"/>
    <x v="6"/>
    <s v="Maharashtra"/>
    <x v="1"/>
    <s v="Paper"/>
    <s v="Printer Paper"/>
    <n v="7"/>
    <n v="24465.35"/>
    <n v="6979.34"/>
    <x v="4"/>
    <x v="1"/>
    <x v="11"/>
    <n v="2025"/>
    <s v="Q2"/>
    <n v="0.2852744800299199"/>
    <s v="HIGH"/>
    <n v="0.05"/>
  </r>
  <r>
    <n v="10803"/>
    <s v="12-Feb-2025"/>
    <x v="48"/>
    <x v="2"/>
    <s v="West Bengal"/>
    <x v="2"/>
    <s v="Chairs"/>
    <s v="Chair"/>
    <n v="4"/>
    <n v="15587.6"/>
    <n v="3845.62"/>
    <x v="4"/>
    <x v="1"/>
    <x v="1"/>
    <n v="2025"/>
    <s v="Q1"/>
    <n v="0.24671020554799969"/>
    <s v="HIGH"/>
    <n v="0.05"/>
  </r>
  <r>
    <n v="10804"/>
    <s v="02-Sep-2025"/>
    <x v="11"/>
    <x v="7"/>
    <s v="Delhi"/>
    <x v="2"/>
    <s v="Living Room"/>
    <s v="Sofa"/>
    <n v="5"/>
    <n v="11641.5"/>
    <n v="2923.8"/>
    <x v="1"/>
    <x v="2"/>
    <x v="3"/>
    <n v="2025"/>
    <s v="Q3"/>
    <n v="0.25115320190697077"/>
    <s v="HIGH"/>
    <n v="0.1"/>
  </r>
  <r>
    <n v="10805"/>
    <s v="10-Jan-2025"/>
    <x v="0"/>
    <x v="4"/>
    <s v="Telangana"/>
    <x v="0"/>
    <s v="Accessories"/>
    <s v="Mouse"/>
    <n v="6"/>
    <n v="19354.5"/>
    <n v="4044.45"/>
    <x v="0"/>
    <x v="2"/>
    <x v="0"/>
    <n v="2025"/>
    <s v="Q1"/>
    <n v="0.20896690692087111"/>
    <s v="HIGH"/>
    <n v="0.15"/>
  </r>
  <r>
    <n v="10806"/>
    <s v="22-Apr-2025"/>
    <x v="22"/>
    <x v="6"/>
    <s v="Maharashtra"/>
    <x v="2"/>
    <s v="Chairs"/>
    <s v="Chair"/>
    <n v="2"/>
    <n v="7672.1"/>
    <n v="1953.47"/>
    <x v="0"/>
    <x v="3"/>
    <x v="4"/>
    <n v="2025"/>
    <s v="Q2"/>
    <n v="0.25461998670507424"/>
    <s v="HIGH"/>
    <n v="0.15"/>
  </r>
  <r>
    <n v="10807"/>
    <s v="03-Aug-2025"/>
    <x v="30"/>
    <x v="2"/>
    <s v="West Bengal"/>
    <x v="0"/>
    <s v="Computers"/>
    <s v="Laptop"/>
    <n v="7"/>
    <n v="22645"/>
    <n v="3344.57"/>
    <x v="2"/>
    <x v="3"/>
    <x v="5"/>
    <n v="2025"/>
    <s v="Q3"/>
    <n v="0.14769573857363658"/>
    <s v="HIGH"/>
    <n v="0"/>
  </r>
  <r>
    <n v="10808"/>
    <s v="16-Feb-2025"/>
    <x v="16"/>
    <x v="7"/>
    <s v="Delhi"/>
    <x v="1"/>
    <s v="Stationery"/>
    <s v="Notebook"/>
    <n v="3"/>
    <n v="5908.05"/>
    <n v="531.28"/>
    <x v="4"/>
    <x v="3"/>
    <x v="1"/>
    <n v="2025"/>
    <s v="Q1"/>
    <n v="8.9924763669907995E-2"/>
    <s v="HIGH"/>
    <n v="0.05"/>
  </r>
  <r>
    <n v="10809"/>
    <s v="12-May-2025"/>
    <x v="72"/>
    <x v="2"/>
    <s v="West Bengal"/>
    <x v="2"/>
    <s v="Chairs"/>
    <s v="Chair"/>
    <n v="1"/>
    <n v="1175.4000000000001"/>
    <n v="299.68"/>
    <x v="1"/>
    <x v="4"/>
    <x v="6"/>
    <n v="2025"/>
    <s v="Q2"/>
    <n v="0.25496001361238724"/>
    <s v="MEDIUM"/>
    <n v="0.1"/>
  </r>
  <r>
    <n v="10810"/>
    <s v="31-Jul-2025"/>
    <x v="104"/>
    <x v="7"/>
    <s v="Delhi"/>
    <x v="0"/>
    <s v="Audio"/>
    <s v="Headphones"/>
    <n v="1"/>
    <n v="4694.8999999999996"/>
    <n v="1274.81"/>
    <x v="4"/>
    <x v="3"/>
    <x v="2"/>
    <n v="2025"/>
    <s v="Q3"/>
    <n v="0.27153081002790264"/>
    <s v="MEDIUM"/>
    <n v="0.05"/>
  </r>
  <r>
    <n v="10811"/>
    <s v="29-Mar-2025"/>
    <x v="51"/>
    <x v="0"/>
    <s v="Maharashtra"/>
    <x v="1"/>
    <s v="Paper"/>
    <s v="Printer Paper"/>
    <n v="6"/>
    <n v="17625.599999999999"/>
    <n v="4707.33"/>
    <x v="0"/>
    <x v="3"/>
    <x v="8"/>
    <n v="2025"/>
    <s v="Q1"/>
    <n v="0.26707346132897603"/>
    <s v="HIGH"/>
    <n v="0.15"/>
  </r>
  <r>
    <n v="10812"/>
    <s v="21-Mar-2025"/>
    <x v="125"/>
    <x v="1"/>
    <s v="Tamil Nadu"/>
    <x v="0"/>
    <s v="Accessories"/>
    <s v="Mouse"/>
    <n v="8"/>
    <n v="2118.4"/>
    <n v="598.64"/>
    <x v="3"/>
    <x v="4"/>
    <x v="8"/>
    <n v="2025"/>
    <s v="Q1"/>
    <n v="0.28259063444108762"/>
    <s v="MEDIUM"/>
    <n v="0.2"/>
  </r>
  <r>
    <n v="10813"/>
    <s v="05-Nov-2025"/>
    <x v="108"/>
    <x v="3"/>
    <s v="Gujarat"/>
    <x v="2"/>
    <s v="Tables"/>
    <s v="Table"/>
    <n v="5"/>
    <n v="15424"/>
    <n v="3192.75"/>
    <x v="3"/>
    <x v="0"/>
    <x v="10"/>
    <n v="2025"/>
    <s v="Q4"/>
    <n v="0.20699883298755187"/>
    <s v="HIGH"/>
    <n v="0.2"/>
  </r>
  <r>
    <n v="10814"/>
    <s v="06-Nov-2025"/>
    <x v="134"/>
    <x v="6"/>
    <s v="Maharashtra"/>
    <x v="1"/>
    <s v="Stationery"/>
    <s v="Pen"/>
    <n v="2"/>
    <n v="4369"/>
    <n v="753.24"/>
    <x v="0"/>
    <x v="3"/>
    <x v="10"/>
    <n v="2025"/>
    <s v="Q4"/>
    <n v="0.17240558480201421"/>
    <s v="MEDIUM"/>
    <n v="0.15"/>
  </r>
  <r>
    <n v="10815"/>
    <s v="13-Aug-2025"/>
    <x v="39"/>
    <x v="5"/>
    <s v="Karnataka"/>
    <x v="0"/>
    <s v="Audio"/>
    <s v="Headphones"/>
    <n v="6"/>
    <n v="6640.2"/>
    <n v="760.76"/>
    <x v="0"/>
    <x v="0"/>
    <x v="5"/>
    <n v="2025"/>
    <s v="Q3"/>
    <n v="0.11456883828800338"/>
    <s v="HIGH"/>
    <n v="0.15"/>
  </r>
  <r>
    <n v="10816"/>
    <s v="30-Sep-2025"/>
    <x v="106"/>
    <x v="4"/>
    <s v="Telangana"/>
    <x v="2"/>
    <s v="Living Room"/>
    <s v="Sofa"/>
    <n v="6"/>
    <n v="21147"/>
    <n v="3792.29"/>
    <x v="4"/>
    <x v="1"/>
    <x v="3"/>
    <n v="2025"/>
    <s v="Q3"/>
    <n v="0.17932992859507257"/>
    <s v="HIGH"/>
    <n v="0.05"/>
  </r>
  <r>
    <n v="10817"/>
    <s v="11-Dec-2025"/>
    <x v="88"/>
    <x v="3"/>
    <s v="Gujarat"/>
    <x v="2"/>
    <s v="Office"/>
    <s v="Desk"/>
    <n v="5"/>
    <n v="15601.5"/>
    <n v="4131.0200000000004"/>
    <x v="1"/>
    <x v="2"/>
    <x v="9"/>
    <n v="2025"/>
    <s v="Q4"/>
    <n v="0.26478351440566616"/>
    <s v="HIGH"/>
    <n v="0.1"/>
  </r>
  <r>
    <n v="10818"/>
    <s v="05-Jan-2025"/>
    <x v="94"/>
    <x v="3"/>
    <s v="Gujarat"/>
    <x v="1"/>
    <s v="Stationery"/>
    <s v="Notebook"/>
    <n v="3"/>
    <n v="11154.9"/>
    <n v="1345.49"/>
    <x v="4"/>
    <x v="0"/>
    <x v="0"/>
    <n v="2025"/>
    <s v="Q1"/>
    <n v="0.12061874153959247"/>
    <s v="HIGH"/>
    <n v="0.05"/>
  </r>
  <r>
    <n v="10819"/>
    <s v="15-May-2025"/>
    <x v="122"/>
    <x v="5"/>
    <s v="Karnataka"/>
    <x v="2"/>
    <s v="Chairs"/>
    <s v="Chair"/>
    <n v="5"/>
    <n v="14070"/>
    <n v="2957.49"/>
    <x v="2"/>
    <x v="4"/>
    <x v="6"/>
    <n v="2025"/>
    <s v="Q2"/>
    <n v="0.21019829424307035"/>
    <s v="HIGH"/>
    <n v="0"/>
  </r>
  <r>
    <n v="10820"/>
    <s v="09-Mar-2025"/>
    <x v="14"/>
    <x v="6"/>
    <s v="Maharashtra"/>
    <x v="0"/>
    <s v="Audio"/>
    <s v="Headphones"/>
    <n v="6"/>
    <n v="18820.8"/>
    <n v="5093.6899999999996"/>
    <x v="3"/>
    <x v="2"/>
    <x v="8"/>
    <n v="2025"/>
    <s v="Q1"/>
    <n v="0.27064152427101928"/>
    <s v="HIGH"/>
    <n v="0.2"/>
  </r>
  <r>
    <n v="10821"/>
    <s v="05-Mar-2025"/>
    <x v="125"/>
    <x v="0"/>
    <s v="Maharashtra"/>
    <x v="1"/>
    <s v="Stationery"/>
    <s v="Notebook"/>
    <n v="3"/>
    <n v="8676"/>
    <n v="1767.35"/>
    <x v="3"/>
    <x v="1"/>
    <x v="8"/>
    <n v="2025"/>
    <s v="Q1"/>
    <n v="0.20370562471184878"/>
    <s v="HIGH"/>
    <n v="0.2"/>
  </r>
  <r>
    <n v="10822"/>
    <s v="23-Mar-2025"/>
    <x v="179"/>
    <x v="3"/>
    <s v="Gujarat"/>
    <x v="1"/>
    <s v="Paper"/>
    <s v="Printer Paper"/>
    <n v="5"/>
    <n v="1938"/>
    <n v="330.41"/>
    <x v="4"/>
    <x v="1"/>
    <x v="8"/>
    <n v="2025"/>
    <s v="Q1"/>
    <n v="0.17049019607843138"/>
    <s v="MEDIUM"/>
    <n v="0.05"/>
  </r>
  <r>
    <n v="10823"/>
    <s v="05-Dec-2025"/>
    <x v="52"/>
    <x v="7"/>
    <s v="Delhi"/>
    <x v="2"/>
    <s v="Living Room"/>
    <s v="Sofa"/>
    <n v="1"/>
    <n v="1322.4"/>
    <n v="368.75"/>
    <x v="4"/>
    <x v="1"/>
    <x v="9"/>
    <n v="2025"/>
    <s v="Q4"/>
    <n v="0.27884906231094975"/>
    <s v="MEDIUM"/>
    <n v="0.05"/>
  </r>
  <r>
    <n v="10824"/>
    <s v="02-Mar-2025"/>
    <x v="24"/>
    <x v="2"/>
    <s v="West Bengal"/>
    <x v="2"/>
    <s v="Tables"/>
    <s v="Table"/>
    <n v="1"/>
    <n v="2053"/>
    <n v="570.13"/>
    <x v="2"/>
    <x v="4"/>
    <x v="8"/>
    <n v="2025"/>
    <s v="Q1"/>
    <n v="0.27770579639551873"/>
    <s v="MEDIUM"/>
    <n v="0"/>
  </r>
  <r>
    <n v="10825"/>
    <s v="10-Jul-2025"/>
    <x v="58"/>
    <x v="1"/>
    <s v="Tamil Nadu"/>
    <x v="1"/>
    <s v="Paper"/>
    <s v="Printer Paper"/>
    <n v="7"/>
    <n v="15963.85"/>
    <n v="3203.28"/>
    <x v="0"/>
    <x v="0"/>
    <x v="2"/>
    <n v="2025"/>
    <s v="Q3"/>
    <n v="0.20065836248774577"/>
    <s v="HIGH"/>
    <n v="0.15"/>
  </r>
  <r>
    <n v="10826"/>
    <s v="08-Nov-2025"/>
    <x v="141"/>
    <x v="0"/>
    <s v="Maharashtra"/>
    <x v="1"/>
    <s v="Paper"/>
    <s v="Printer Paper"/>
    <n v="6"/>
    <n v="26928"/>
    <n v="3423.6"/>
    <x v="2"/>
    <x v="0"/>
    <x v="10"/>
    <n v="2025"/>
    <s v="Q4"/>
    <n v="0.12713903743315508"/>
    <s v="HIGH"/>
    <n v="0"/>
  </r>
  <r>
    <n v="10827"/>
    <s v="28-Mar-2025"/>
    <x v="145"/>
    <x v="2"/>
    <s v="West Bengal"/>
    <x v="1"/>
    <s v="Stationery"/>
    <s v="Notebook"/>
    <n v="2"/>
    <n v="1235.9000000000001"/>
    <n v="225.58"/>
    <x v="0"/>
    <x v="4"/>
    <x v="8"/>
    <n v="2025"/>
    <s v="Q1"/>
    <n v="0.18252285783639452"/>
    <s v="MEDIUM"/>
    <n v="0.15"/>
  </r>
  <r>
    <n v="10828"/>
    <s v="17-Feb-2025"/>
    <x v="123"/>
    <x v="5"/>
    <s v="Karnataka"/>
    <x v="0"/>
    <s v="Accessories"/>
    <s v="Keyboard"/>
    <n v="6"/>
    <n v="18268.5"/>
    <n v="3972.69"/>
    <x v="4"/>
    <x v="4"/>
    <x v="1"/>
    <n v="2025"/>
    <s v="Q1"/>
    <n v="0.21746120371130634"/>
    <s v="HIGH"/>
    <n v="0.05"/>
  </r>
  <r>
    <n v="10829"/>
    <s v="11-Aug-2025"/>
    <x v="168"/>
    <x v="5"/>
    <s v="Karnataka"/>
    <x v="0"/>
    <s v="Computers"/>
    <s v="Laptop"/>
    <n v="4"/>
    <n v="16085.4"/>
    <n v="3525.2"/>
    <x v="4"/>
    <x v="2"/>
    <x v="5"/>
    <n v="2025"/>
    <s v="Q3"/>
    <n v="0.21915525880612233"/>
    <s v="HIGH"/>
    <n v="0.05"/>
  </r>
  <r>
    <n v="10830"/>
    <s v="05-Feb-2025"/>
    <x v="31"/>
    <x v="4"/>
    <s v="Telangana"/>
    <x v="0"/>
    <s v="Audio"/>
    <s v="Headphones"/>
    <n v="5"/>
    <n v="16362"/>
    <n v="2362.6799999999998"/>
    <x v="1"/>
    <x v="3"/>
    <x v="1"/>
    <n v="2025"/>
    <s v="Q1"/>
    <n v="0.1444004400440044"/>
    <s v="HIGH"/>
    <n v="0.1"/>
  </r>
  <r>
    <n v="10831"/>
    <s v="08-Mar-2025"/>
    <x v="186"/>
    <x v="3"/>
    <s v="Gujarat"/>
    <x v="0"/>
    <s v="Accessories"/>
    <s v="Mouse"/>
    <n v="6"/>
    <n v="10427.4"/>
    <n v="1626.11"/>
    <x v="1"/>
    <x v="3"/>
    <x v="8"/>
    <n v="2025"/>
    <s v="Q1"/>
    <n v="0.15594587337207741"/>
    <s v="HIGH"/>
    <n v="0.1"/>
  </r>
  <r>
    <n v="10832"/>
    <s v="18-May-2025"/>
    <x v="67"/>
    <x v="1"/>
    <s v="Tamil Nadu"/>
    <x v="2"/>
    <s v="Chairs"/>
    <s v="Chair"/>
    <n v="6"/>
    <n v="21582"/>
    <n v="4417.79"/>
    <x v="2"/>
    <x v="1"/>
    <x v="6"/>
    <n v="2025"/>
    <s v="Q2"/>
    <n v="0.2046978963951441"/>
    <s v="HIGH"/>
    <n v="0"/>
  </r>
  <r>
    <n v="10833"/>
    <s v="28-May-2025"/>
    <x v="171"/>
    <x v="3"/>
    <s v="Gujarat"/>
    <x v="1"/>
    <s v="Stationery"/>
    <s v="Marker"/>
    <n v="8"/>
    <n v="28648"/>
    <n v="3158.67"/>
    <x v="2"/>
    <x v="4"/>
    <x v="6"/>
    <n v="2025"/>
    <s v="Q2"/>
    <n v="0.11025795867076237"/>
    <s v="HIGH"/>
    <n v="0"/>
  </r>
  <r>
    <n v="10834"/>
    <s v="04-Dec-2025"/>
    <x v="64"/>
    <x v="0"/>
    <s v="Maharashtra"/>
    <x v="0"/>
    <s v="Accessories"/>
    <s v="Keyboard"/>
    <n v="4"/>
    <n v="7894.4"/>
    <n v="1873.22"/>
    <x v="3"/>
    <x v="2"/>
    <x v="9"/>
    <n v="2025"/>
    <s v="Q4"/>
    <n v="0.2372846574787191"/>
    <s v="HIGH"/>
    <n v="0.2"/>
  </r>
  <r>
    <n v="10835"/>
    <s v="10-Jan-2025"/>
    <x v="159"/>
    <x v="7"/>
    <s v="Delhi"/>
    <x v="0"/>
    <s v="Computers"/>
    <s v="Laptop"/>
    <n v="6"/>
    <n v="7650"/>
    <n v="753.35"/>
    <x v="2"/>
    <x v="4"/>
    <x v="0"/>
    <n v="2025"/>
    <s v="Q1"/>
    <n v="9.847712418300654E-2"/>
    <s v="HIGH"/>
    <n v="0"/>
  </r>
  <r>
    <n v="10836"/>
    <s v="30-Jun-2025"/>
    <x v="107"/>
    <x v="1"/>
    <s v="Tamil Nadu"/>
    <x v="2"/>
    <s v="Living Room"/>
    <s v="Sofa"/>
    <n v="7"/>
    <n v="15708"/>
    <n v="1762.98"/>
    <x v="2"/>
    <x v="3"/>
    <x v="11"/>
    <n v="2025"/>
    <s v="Q2"/>
    <n v="0.11223453017570664"/>
    <s v="HIGH"/>
    <n v="0"/>
  </r>
  <r>
    <n v="10837"/>
    <s v="19-Nov-2025"/>
    <x v="185"/>
    <x v="3"/>
    <s v="Gujarat"/>
    <x v="1"/>
    <s v="Stationery"/>
    <s v="Marker"/>
    <n v="7"/>
    <n v="23354.1"/>
    <n v="3844.11"/>
    <x v="1"/>
    <x v="4"/>
    <x v="10"/>
    <n v="2025"/>
    <s v="Q4"/>
    <n v="0.1646010764705127"/>
    <s v="HIGH"/>
    <n v="0.1"/>
  </r>
  <r>
    <n v="10838"/>
    <s v="11-Nov-2025"/>
    <x v="70"/>
    <x v="6"/>
    <s v="Maharashtra"/>
    <x v="0"/>
    <s v="Accessories"/>
    <s v="Keyboard"/>
    <n v="7"/>
    <n v="2335.1999999999998"/>
    <n v="430.91"/>
    <x v="3"/>
    <x v="0"/>
    <x v="10"/>
    <n v="2025"/>
    <s v="Q4"/>
    <n v="0.18452809181226451"/>
    <s v="MEDIUM"/>
    <n v="0.2"/>
  </r>
  <r>
    <n v="10839"/>
    <s v="08-Aug-2025"/>
    <x v="4"/>
    <x v="3"/>
    <s v="Gujarat"/>
    <x v="1"/>
    <s v="Stationery"/>
    <s v="Pen"/>
    <n v="4"/>
    <n v="9840"/>
    <n v="1710.08"/>
    <x v="3"/>
    <x v="1"/>
    <x v="5"/>
    <n v="2025"/>
    <s v="Q3"/>
    <n v="0.17378861788617886"/>
    <s v="HIGH"/>
    <n v="0.2"/>
  </r>
  <r>
    <n v="10840"/>
    <s v="17-Mar-2025"/>
    <x v="152"/>
    <x v="5"/>
    <s v="Karnataka"/>
    <x v="1"/>
    <s v="Stationery"/>
    <s v="Pen"/>
    <n v="5"/>
    <n v="4761"/>
    <n v="1260.21"/>
    <x v="1"/>
    <x v="0"/>
    <x v="8"/>
    <n v="2025"/>
    <s v="Q1"/>
    <n v="0.26469439193446753"/>
    <s v="MEDIUM"/>
    <n v="0.1"/>
  </r>
  <r>
    <n v="10841"/>
    <s v="06-Nov-2025"/>
    <x v="149"/>
    <x v="6"/>
    <s v="Maharashtra"/>
    <x v="1"/>
    <s v="Paper"/>
    <s v="Printer Paper"/>
    <n v="6"/>
    <n v="18168"/>
    <n v="2449.89"/>
    <x v="3"/>
    <x v="4"/>
    <x v="10"/>
    <n v="2025"/>
    <s v="Q4"/>
    <n v="0.13484643328929985"/>
    <s v="HIGH"/>
    <n v="0.2"/>
  </r>
  <r>
    <n v="10842"/>
    <s v="16-Nov-2025"/>
    <x v="178"/>
    <x v="5"/>
    <s v="Karnataka"/>
    <x v="0"/>
    <s v="Audio"/>
    <s v="Headphones"/>
    <n v="7"/>
    <n v="13998.6"/>
    <n v="2162.4699999999998"/>
    <x v="1"/>
    <x v="0"/>
    <x v="10"/>
    <n v="2025"/>
    <s v="Q4"/>
    <n v="0.15447759061620445"/>
    <s v="HIGH"/>
    <n v="0.1"/>
  </r>
  <r>
    <n v="10843"/>
    <s v="02-Feb-2025"/>
    <x v="105"/>
    <x v="1"/>
    <s v="Tamil Nadu"/>
    <x v="0"/>
    <s v="Accessories"/>
    <s v="Keyboard"/>
    <n v="8"/>
    <n v="24836.799999999999"/>
    <n v="3557.73"/>
    <x v="4"/>
    <x v="0"/>
    <x v="1"/>
    <n v="2025"/>
    <s v="Q1"/>
    <n v="0.14324429878245185"/>
    <s v="HIGH"/>
    <n v="0.05"/>
  </r>
  <r>
    <n v="10844"/>
    <s v="17-Mar-2025"/>
    <x v="162"/>
    <x v="6"/>
    <s v="Maharashtra"/>
    <x v="1"/>
    <s v="Stationery"/>
    <s v="Notebook"/>
    <n v="2"/>
    <n v="6448.1"/>
    <n v="1647.36"/>
    <x v="0"/>
    <x v="2"/>
    <x v="8"/>
    <n v="2025"/>
    <s v="Q1"/>
    <n v="0.25547990881034721"/>
    <s v="HIGH"/>
    <n v="0.15"/>
  </r>
  <r>
    <n v="10845"/>
    <s v="30-Jan-2025"/>
    <x v="111"/>
    <x v="4"/>
    <s v="Telangana"/>
    <x v="2"/>
    <s v="Chairs"/>
    <s v="Chair"/>
    <n v="6"/>
    <n v="10492.2"/>
    <n v="2661.2"/>
    <x v="1"/>
    <x v="0"/>
    <x v="0"/>
    <n v="2025"/>
    <s v="Q1"/>
    <n v="0.25363603438744969"/>
    <s v="HIGH"/>
    <n v="0.1"/>
  </r>
  <r>
    <n v="10846"/>
    <s v="18-Nov-2025"/>
    <x v="44"/>
    <x v="7"/>
    <s v="Delhi"/>
    <x v="1"/>
    <s v="Stationery"/>
    <s v="Pen"/>
    <n v="8"/>
    <n v="24026.400000000001"/>
    <n v="7026.08"/>
    <x v="1"/>
    <x v="0"/>
    <x v="10"/>
    <n v="2025"/>
    <s v="Q4"/>
    <n v="0.29243165850897346"/>
    <s v="HIGH"/>
    <n v="0.1"/>
  </r>
  <r>
    <n v="10847"/>
    <s v="10-Sep-2025"/>
    <x v="41"/>
    <x v="3"/>
    <s v="Gujarat"/>
    <x v="0"/>
    <s v="Audio"/>
    <s v="Headphones"/>
    <n v="8"/>
    <n v="22494.400000000001"/>
    <n v="6416.68"/>
    <x v="0"/>
    <x v="2"/>
    <x v="3"/>
    <n v="2025"/>
    <s v="Q3"/>
    <n v="0.28525677501956043"/>
    <s v="HIGH"/>
    <n v="0.15"/>
  </r>
  <r>
    <n v="10848"/>
    <s v="13-Jun-2025"/>
    <x v="190"/>
    <x v="5"/>
    <s v="Karnataka"/>
    <x v="0"/>
    <s v="Audio"/>
    <s v="Headphones"/>
    <n v="2"/>
    <n v="1169.5999999999999"/>
    <n v="189.05"/>
    <x v="3"/>
    <x v="4"/>
    <x v="11"/>
    <n v="2025"/>
    <s v="Q2"/>
    <n v="0.16163645690834474"/>
    <s v="MEDIUM"/>
    <n v="0.2"/>
  </r>
  <r>
    <n v="10849"/>
    <s v="13-Aug-2025"/>
    <x v="101"/>
    <x v="5"/>
    <s v="Karnataka"/>
    <x v="0"/>
    <s v="Audio"/>
    <s v="Headphones"/>
    <n v="8"/>
    <n v="19033.599999999999"/>
    <n v="4575.83"/>
    <x v="3"/>
    <x v="4"/>
    <x v="5"/>
    <n v="2025"/>
    <s v="Q3"/>
    <n v="0.24040801529926026"/>
    <s v="HIGH"/>
    <n v="0.2"/>
  </r>
  <r>
    <n v="10850"/>
    <s v="04-Jul-2025"/>
    <x v="192"/>
    <x v="3"/>
    <s v="Gujarat"/>
    <x v="2"/>
    <s v="Living Room"/>
    <s v="Sofa"/>
    <n v="4"/>
    <n v="16704.2"/>
    <n v="3612.04"/>
    <x v="0"/>
    <x v="3"/>
    <x v="2"/>
    <n v="2025"/>
    <s v="Q3"/>
    <n v="0.21623543779408771"/>
    <s v="HIGH"/>
    <n v="0.15"/>
  </r>
  <r>
    <n v="10851"/>
    <s v="10-May-2025"/>
    <x v="131"/>
    <x v="5"/>
    <s v="Karnataka"/>
    <x v="0"/>
    <s v="Audio"/>
    <s v="Headphones"/>
    <n v="1"/>
    <n v="641.6"/>
    <n v="137.36000000000001"/>
    <x v="3"/>
    <x v="0"/>
    <x v="6"/>
    <n v="2025"/>
    <s v="Q2"/>
    <n v="0.21408977556109726"/>
    <s v="LOW"/>
    <n v="0.2"/>
  </r>
  <r>
    <n v="10852"/>
    <s v="08-Apr-2025"/>
    <x v="100"/>
    <x v="4"/>
    <s v="Telangana"/>
    <x v="1"/>
    <s v="Stationery"/>
    <s v="Marker"/>
    <n v="7"/>
    <n v="18838.400000000001"/>
    <n v="3341.25"/>
    <x v="3"/>
    <x v="3"/>
    <x v="4"/>
    <n v="2025"/>
    <s v="Q2"/>
    <n v="0.17736378885680312"/>
    <s v="HIGH"/>
    <n v="0.2"/>
  </r>
  <r>
    <n v="10853"/>
    <s v="17-Sep-2025"/>
    <x v="129"/>
    <x v="0"/>
    <s v="Maharashtra"/>
    <x v="0"/>
    <s v="Accessories"/>
    <s v="Mouse"/>
    <n v="5"/>
    <n v="15703.5"/>
    <n v="3045.13"/>
    <x v="4"/>
    <x v="1"/>
    <x v="3"/>
    <n v="2025"/>
    <s v="Q3"/>
    <n v="0.19391409558378706"/>
    <s v="HIGH"/>
    <n v="0.05"/>
  </r>
  <r>
    <n v="10854"/>
    <s v="30-Jul-2025"/>
    <x v="172"/>
    <x v="3"/>
    <s v="Gujarat"/>
    <x v="1"/>
    <s v="Paper"/>
    <s v="Printer Paper"/>
    <n v="4"/>
    <n v="2862.8"/>
    <n v="484.9"/>
    <x v="0"/>
    <x v="0"/>
    <x v="2"/>
    <n v="2025"/>
    <s v="Q3"/>
    <n v="0.1693796283358949"/>
    <s v="MEDIUM"/>
    <n v="0.15"/>
  </r>
  <r>
    <n v="10855"/>
    <s v="08-Sep-2025"/>
    <x v="42"/>
    <x v="5"/>
    <s v="Karnataka"/>
    <x v="2"/>
    <s v="Tables"/>
    <s v="Table"/>
    <n v="5"/>
    <n v="21300"/>
    <n v="4840.7"/>
    <x v="2"/>
    <x v="2"/>
    <x v="3"/>
    <n v="2025"/>
    <s v="Q3"/>
    <n v="0.22726291079812205"/>
    <s v="HIGH"/>
    <n v="0"/>
  </r>
  <r>
    <n v="10856"/>
    <s v="18-Oct-2025"/>
    <x v="23"/>
    <x v="5"/>
    <s v="Karnataka"/>
    <x v="1"/>
    <s v="Paper"/>
    <s v="Printer Paper"/>
    <n v="5"/>
    <n v="13540"/>
    <n v="2805.56"/>
    <x v="2"/>
    <x v="1"/>
    <x v="7"/>
    <n v="2025"/>
    <s v="Q4"/>
    <n v="0.20720531757754801"/>
    <s v="HIGH"/>
    <n v="0"/>
  </r>
  <r>
    <n v="10857"/>
    <s v="13-Oct-2025"/>
    <x v="77"/>
    <x v="4"/>
    <s v="Telangana"/>
    <x v="0"/>
    <s v="Accessories"/>
    <s v="Mouse"/>
    <n v="7"/>
    <n v="26510.400000000001"/>
    <n v="5967.93"/>
    <x v="3"/>
    <x v="4"/>
    <x v="7"/>
    <n v="2025"/>
    <s v="Q4"/>
    <n v="0.22511655803005612"/>
    <s v="HIGH"/>
    <n v="0.2"/>
  </r>
  <r>
    <n v="10858"/>
    <s v="13-Jul-2025"/>
    <x v="109"/>
    <x v="7"/>
    <s v="Delhi"/>
    <x v="2"/>
    <s v="Chairs"/>
    <s v="Chair"/>
    <n v="4"/>
    <n v="6521.6"/>
    <n v="1019.67"/>
    <x v="3"/>
    <x v="2"/>
    <x v="2"/>
    <n v="2025"/>
    <s v="Q3"/>
    <n v="0.15635273552502452"/>
    <s v="HIGH"/>
    <n v="0.2"/>
  </r>
  <r>
    <n v="10859"/>
    <s v="18-Sep-2025"/>
    <x v="178"/>
    <x v="2"/>
    <s v="West Bengal"/>
    <x v="1"/>
    <s v="Stationery"/>
    <s v="Pen"/>
    <n v="3"/>
    <n v="4384.8"/>
    <n v="1267.94"/>
    <x v="3"/>
    <x v="4"/>
    <x v="3"/>
    <n v="2025"/>
    <s v="Q3"/>
    <n v="0.28916712278781243"/>
    <s v="MEDIUM"/>
    <n v="0.2"/>
  </r>
  <r>
    <n v="10860"/>
    <s v="16-Jun-2025"/>
    <x v="133"/>
    <x v="5"/>
    <s v="Karnataka"/>
    <x v="1"/>
    <s v="Paper"/>
    <s v="Printer Paper"/>
    <n v="3"/>
    <n v="7502.4"/>
    <n v="907.64"/>
    <x v="3"/>
    <x v="3"/>
    <x v="11"/>
    <n v="2025"/>
    <s v="Q2"/>
    <n v="0.12097995308168054"/>
    <s v="HIGH"/>
    <n v="0.2"/>
  </r>
  <r>
    <n v="10861"/>
    <s v="25-Apr-2025"/>
    <x v="11"/>
    <x v="1"/>
    <s v="Tamil Nadu"/>
    <x v="2"/>
    <s v="Office"/>
    <s v="Desk"/>
    <n v="6"/>
    <n v="21139.5"/>
    <n v="1948.64"/>
    <x v="0"/>
    <x v="3"/>
    <x v="4"/>
    <n v="2025"/>
    <s v="Q2"/>
    <n v="9.21800421012796E-2"/>
    <s v="HIGH"/>
    <n v="0.15"/>
  </r>
  <r>
    <n v="10862"/>
    <s v="22-Oct-2025"/>
    <x v="174"/>
    <x v="1"/>
    <s v="Tamil Nadu"/>
    <x v="2"/>
    <s v="Chairs"/>
    <s v="Chair"/>
    <n v="8"/>
    <n v="13952"/>
    <n v="2217.0700000000002"/>
    <x v="2"/>
    <x v="2"/>
    <x v="7"/>
    <n v="2025"/>
    <s v="Q4"/>
    <n v="0.15890696674311927"/>
    <s v="HIGH"/>
    <n v="0"/>
  </r>
  <r>
    <n v="10863"/>
    <s v="04-Mar-2025"/>
    <x v="60"/>
    <x v="1"/>
    <s v="Tamil Nadu"/>
    <x v="0"/>
    <s v="Accessories"/>
    <s v="Keyboard"/>
    <n v="5"/>
    <n v="12125.25"/>
    <n v="1874.02"/>
    <x v="0"/>
    <x v="4"/>
    <x v="8"/>
    <n v="2025"/>
    <s v="Q1"/>
    <n v="0.15455516381105544"/>
    <s v="HIGH"/>
    <n v="0.15"/>
  </r>
  <r>
    <n v="10864"/>
    <s v="23-Apr-2025"/>
    <x v="34"/>
    <x v="5"/>
    <s v="Karnataka"/>
    <x v="1"/>
    <s v="Stationery"/>
    <s v="Notebook"/>
    <n v="1"/>
    <n v="2296.6999999999998"/>
    <n v="514.55999999999995"/>
    <x v="0"/>
    <x v="0"/>
    <x v="4"/>
    <n v="2025"/>
    <s v="Q2"/>
    <n v="0.22404319240649628"/>
    <s v="MEDIUM"/>
    <n v="0.15"/>
  </r>
  <r>
    <n v="10865"/>
    <s v="07-Aug-2025"/>
    <x v="9"/>
    <x v="2"/>
    <s v="West Bengal"/>
    <x v="1"/>
    <s v="Stationery"/>
    <s v="Notebook"/>
    <n v="8"/>
    <n v="29510.400000000001"/>
    <n v="2515.69"/>
    <x v="3"/>
    <x v="1"/>
    <x v="5"/>
    <n v="2025"/>
    <s v="Q3"/>
    <n v="8.5247573736716542E-2"/>
    <s v="HIGH"/>
    <n v="0.2"/>
  </r>
  <r>
    <n v="10866"/>
    <s v="21-Sep-2025"/>
    <x v="194"/>
    <x v="5"/>
    <s v="Karnataka"/>
    <x v="2"/>
    <s v="Living Room"/>
    <s v="Sofa"/>
    <n v="6"/>
    <n v="4854.6000000000004"/>
    <n v="415.33"/>
    <x v="1"/>
    <x v="1"/>
    <x v="3"/>
    <n v="2025"/>
    <s v="Q3"/>
    <n v="8.5553907633996618E-2"/>
    <s v="MEDIUM"/>
    <n v="0.1"/>
  </r>
  <r>
    <n v="10867"/>
    <s v="20-Jun-2025"/>
    <x v="186"/>
    <x v="1"/>
    <s v="Tamil Nadu"/>
    <x v="2"/>
    <s v="Tables"/>
    <s v="Table"/>
    <n v="4"/>
    <n v="7368.2"/>
    <n v="1669.79"/>
    <x v="4"/>
    <x v="2"/>
    <x v="11"/>
    <n v="2025"/>
    <s v="Q2"/>
    <n v="0.22662115577753048"/>
    <s v="HIGH"/>
    <n v="0.05"/>
  </r>
  <r>
    <n v="10868"/>
    <s v="18-Jun-2025"/>
    <x v="14"/>
    <x v="3"/>
    <s v="Gujarat"/>
    <x v="0"/>
    <s v="Accessories"/>
    <s v="Keyboard"/>
    <n v="1"/>
    <n v="1876"/>
    <n v="267.95999999999998"/>
    <x v="2"/>
    <x v="1"/>
    <x v="11"/>
    <n v="2025"/>
    <s v="Q2"/>
    <n v="0.14283582089552238"/>
    <s v="MEDIUM"/>
    <n v="0"/>
  </r>
  <r>
    <n v="10869"/>
    <s v="26-Dec-2025"/>
    <x v="98"/>
    <x v="7"/>
    <s v="Delhi"/>
    <x v="0"/>
    <s v="Accessories"/>
    <s v="Mouse"/>
    <n v="5"/>
    <n v="3920"/>
    <n v="724.53"/>
    <x v="3"/>
    <x v="3"/>
    <x v="9"/>
    <n v="2025"/>
    <s v="Q4"/>
    <n v="0.18482908163265305"/>
    <s v="MEDIUM"/>
    <n v="0.2"/>
  </r>
  <r>
    <n v="10870"/>
    <s v="13-Jan-2025"/>
    <x v="54"/>
    <x v="2"/>
    <s v="West Bengal"/>
    <x v="1"/>
    <s v="Stationery"/>
    <s v="Pen"/>
    <n v="4"/>
    <n v="2291.4"/>
    <n v="342.8"/>
    <x v="4"/>
    <x v="3"/>
    <x v="0"/>
    <n v="2025"/>
    <s v="Q1"/>
    <n v="0.14960286287858951"/>
    <s v="MEDIUM"/>
    <n v="0.05"/>
  </r>
  <r>
    <n v="10871"/>
    <s v="04-Sep-2025"/>
    <x v="22"/>
    <x v="1"/>
    <s v="Tamil Nadu"/>
    <x v="0"/>
    <s v="Accessories"/>
    <s v="Keyboard"/>
    <n v="8"/>
    <n v="31136"/>
    <n v="9243.44"/>
    <x v="2"/>
    <x v="0"/>
    <x v="3"/>
    <n v="2025"/>
    <s v="Q3"/>
    <n v="0.29687307297019527"/>
    <s v="HIGH"/>
    <n v="0"/>
  </r>
  <r>
    <n v="10872"/>
    <s v="13-Dec-2025"/>
    <x v="59"/>
    <x v="7"/>
    <s v="Delhi"/>
    <x v="2"/>
    <s v="Office"/>
    <s v="Desk"/>
    <n v="2"/>
    <n v="3651.8"/>
    <n v="634.49"/>
    <x v="4"/>
    <x v="4"/>
    <x v="9"/>
    <n v="2025"/>
    <s v="Q4"/>
    <n v="0.1737471931650145"/>
    <s v="MEDIUM"/>
    <n v="0.05"/>
  </r>
  <r>
    <n v="10873"/>
    <s v="13-May-2025"/>
    <x v="105"/>
    <x v="1"/>
    <s v="Tamil Nadu"/>
    <x v="2"/>
    <s v="Chairs"/>
    <s v="Chair"/>
    <n v="2"/>
    <n v="3927.3"/>
    <n v="947.27"/>
    <x v="4"/>
    <x v="1"/>
    <x v="6"/>
    <n v="2025"/>
    <s v="Q2"/>
    <n v="0.24120133424999363"/>
    <s v="MEDIUM"/>
    <n v="0.05"/>
  </r>
  <r>
    <n v="10874"/>
    <s v="12-Nov-2025"/>
    <x v="18"/>
    <x v="3"/>
    <s v="Gujarat"/>
    <x v="1"/>
    <s v="Paper"/>
    <s v="Printer Paper"/>
    <n v="7"/>
    <n v="31157"/>
    <n v="6640.96"/>
    <x v="2"/>
    <x v="3"/>
    <x v="10"/>
    <n v="2025"/>
    <s v="Q4"/>
    <n v="0.21314503963796258"/>
    <s v="HIGH"/>
    <n v="0"/>
  </r>
  <r>
    <n v="10875"/>
    <s v="09-Jul-2025"/>
    <x v="61"/>
    <x v="4"/>
    <s v="Telangana"/>
    <x v="0"/>
    <s v="Accessories"/>
    <s v="Mouse"/>
    <n v="2"/>
    <n v="6570"/>
    <n v="1528.52"/>
    <x v="2"/>
    <x v="3"/>
    <x v="2"/>
    <n v="2025"/>
    <s v="Q3"/>
    <n v="0.23265144596651446"/>
    <s v="HIGH"/>
    <n v="0"/>
  </r>
  <r>
    <n v="10876"/>
    <s v="20-Jan-2025"/>
    <x v="80"/>
    <x v="2"/>
    <s v="West Bengal"/>
    <x v="2"/>
    <s v="Living Room"/>
    <s v="Sofa"/>
    <n v="5"/>
    <n v="6707"/>
    <n v="1883.6"/>
    <x v="4"/>
    <x v="2"/>
    <x v="0"/>
    <n v="2025"/>
    <s v="Q1"/>
    <n v="0.28084091247949899"/>
    <s v="HIGH"/>
    <n v="0.05"/>
  </r>
  <r>
    <n v="10877"/>
    <s v="08-Jun-2025"/>
    <x v="64"/>
    <x v="5"/>
    <s v="Karnataka"/>
    <x v="0"/>
    <s v="Accessories"/>
    <s v="Mouse"/>
    <n v="6"/>
    <n v="21642.9"/>
    <n v="1976.77"/>
    <x v="4"/>
    <x v="0"/>
    <x v="11"/>
    <n v="2025"/>
    <s v="Q2"/>
    <n v="9.1335726727933872E-2"/>
    <s v="HIGH"/>
    <n v="0.05"/>
  </r>
  <r>
    <n v="10878"/>
    <s v="16-Jun-2025"/>
    <x v="188"/>
    <x v="2"/>
    <s v="West Bengal"/>
    <x v="0"/>
    <s v="Accessories"/>
    <s v="Keyboard"/>
    <n v="6"/>
    <n v="1051.2"/>
    <n v="151.32"/>
    <x v="3"/>
    <x v="0"/>
    <x v="11"/>
    <n v="2025"/>
    <s v="Q2"/>
    <n v="0.14394977168949771"/>
    <s v="MEDIUM"/>
    <n v="0.2"/>
  </r>
  <r>
    <n v="10879"/>
    <s v="03-Jul-2025"/>
    <x v="112"/>
    <x v="3"/>
    <s v="Gujarat"/>
    <x v="0"/>
    <s v="Audio"/>
    <s v="Headphones"/>
    <n v="6"/>
    <n v="23928.6"/>
    <n v="6142.26"/>
    <x v="4"/>
    <x v="3"/>
    <x v="2"/>
    <n v="2025"/>
    <s v="Q3"/>
    <n v="0.25669115618966426"/>
    <s v="HIGH"/>
    <n v="0.05"/>
  </r>
  <r>
    <n v="10880"/>
    <s v="07-Sep-2025"/>
    <x v="39"/>
    <x v="1"/>
    <s v="Tamil Nadu"/>
    <x v="2"/>
    <s v="Tables"/>
    <s v="Table"/>
    <n v="5"/>
    <n v="18115"/>
    <n v="3853.54"/>
    <x v="2"/>
    <x v="4"/>
    <x v="3"/>
    <n v="2025"/>
    <s v="Q3"/>
    <n v="0.21272646977642837"/>
    <s v="HIGH"/>
    <n v="0"/>
  </r>
  <r>
    <n v="10881"/>
    <s v="30-Sep-2025"/>
    <x v="30"/>
    <x v="6"/>
    <s v="Maharashtra"/>
    <x v="0"/>
    <s v="Accessories"/>
    <s v="Keyboard"/>
    <n v="3"/>
    <n v="596.70000000000005"/>
    <n v="149.51"/>
    <x v="1"/>
    <x v="1"/>
    <x v="3"/>
    <n v="2025"/>
    <s v="Q3"/>
    <n v="0.2505614211496564"/>
    <s v="LOW"/>
    <n v="0.1"/>
  </r>
  <r>
    <n v="10882"/>
    <s v="31-Dec-2025"/>
    <x v="195"/>
    <x v="1"/>
    <s v="Tamil Nadu"/>
    <x v="0"/>
    <s v="Audio"/>
    <s v="Headphones"/>
    <n v="6"/>
    <n v="11244"/>
    <n v="2265.98"/>
    <x v="2"/>
    <x v="3"/>
    <x v="9"/>
    <n v="2025"/>
    <s v="Q4"/>
    <n v="0.20152792600498043"/>
    <s v="HIGH"/>
    <n v="0"/>
  </r>
  <r>
    <n v="10883"/>
    <s v="29-Apr-2025"/>
    <x v="81"/>
    <x v="2"/>
    <s v="West Bengal"/>
    <x v="1"/>
    <s v="Stationery"/>
    <s v="Notebook"/>
    <n v="5"/>
    <n v="16630.25"/>
    <n v="2075.14"/>
    <x v="0"/>
    <x v="3"/>
    <x v="4"/>
    <n v="2025"/>
    <s v="Q2"/>
    <n v="0.12478104658679214"/>
    <s v="HIGH"/>
    <n v="0.15"/>
  </r>
  <r>
    <n v="10884"/>
    <s v="29-Sep-2025"/>
    <x v="107"/>
    <x v="3"/>
    <s v="Gujarat"/>
    <x v="0"/>
    <s v="Accessories"/>
    <s v="Keyboard"/>
    <n v="8"/>
    <n v="30680"/>
    <n v="4487.74"/>
    <x v="2"/>
    <x v="3"/>
    <x v="3"/>
    <n v="2025"/>
    <s v="Q3"/>
    <n v="0.14627574967405474"/>
    <s v="HIGH"/>
    <n v="0"/>
  </r>
  <r>
    <n v="10885"/>
    <s v="11-Apr-2025"/>
    <x v="149"/>
    <x v="1"/>
    <s v="Tamil Nadu"/>
    <x v="2"/>
    <s v="Tables"/>
    <s v="Table"/>
    <n v="8"/>
    <n v="2432"/>
    <n v="648.80999999999995"/>
    <x v="3"/>
    <x v="3"/>
    <x v="4"/>
    <n v="2025"/>
    <s v="Q2"/>
    <n v="0.26678042763157894"/>
    <s v="MEDIUM"/>
    <n v="0.2"/>
  </r>
  <r>
    <n v="10886"/>
    <s v="12-Mar-2025"/>
    <x v="168"/>
    <x v="0"/>
    <s v="Maharashtra"/>
    <x v="1"/>
    <s v="Stationery"/>
    <s v="Notebook"/>
    <n v="8"/>
    <n v="34392"/>
    <n v="10230.129999999999"/>
    <x v="2"/>
    <x v="2"/>
    <x v="8"/>
    <n v="2025"/>
    <s v="Q1"/>
    <n v="0.29745667597115605"/>
    <s v="HIGH"/>
    <n v="0"/>
  </r>
  <r>
    <n v="10887"/>
    <s v="20-Jan-2025"/>
    <x v="190"/>
    <x v="1"/>
    <s v="Tamil Nadu"/>
    <x v="1"/>
    <s v="Stationery"/>
    <s v="Marker"/>
    <n v="5"/>
    <n v="19656.25"/>
    <n v="3922.2"/>
    <x v="0"/>
    <x v="2"/>
    <x v="0"/>
    <n v="2025"/>
    <s v="Q1"/>
    <n v="0.199539586645469"/>
    <s v="HIGH"/>
    <n v="0.15"/>
  </r>
  <r>
    <n v="10888"/>
    <s v="19-Jun-2025"/>
    <x v="6"/>
    <x v="2"/>
    <s v="West Bengal"/>
    <x v="2"/>
    <s v="Office"/>
    <s v="Desk"/>
    <n v="6"/>
    <n v="19910.400000000001"/>
    <n v="5276.12"/>
    <x v="0"/>
    <x v="2"/>
    <x v="11"/>
    <n v="2025"/>
    <s v="Q2"/>
    <n v="0.2649931693989071"/>
    <s v="HIGH"/>
    <n v="0.15"/>
  </r>
  <r>
    <n v="10889"/>
    <s v="05-May-2025"/>
    <x v="174"/>
    <x v="1"/>
    <s v="Tamil Nadu"/>
    <x v="2"/>
    <s v="Living Room"/>
    <s v="Sofa"/>
    <n v="4"/>
    <n v="8285.7999999999993"/>
    <n v="1776.8"/>
    <x v="0"/>
    <x v="4"/>
    <x v="6"/>
    <n v="2025"/>
    <s v="Q2"/>
    <n v="0.21443916097419682"/>
    <s v="HIGH"/>
    <n v="0.15"/>
  </r>
  <r>
    <n v="10890"/>
    <s v="07-Oct-2025"/>
    <x v="23"/>
    <x v="0"/>
    <s v="Maharashtra"/>
    <x v="2"/>
    <s v="Chairs"/>
    <s v="Chair"/>
    <n v="8"/>
    <n v="6232"/>
    <n v="1116.81"/>
    <x v="4"/>
    <x v="1"/>
    <x v="7"/>
    <n v="2025"/>
    <s v="Q4"/>
    <n v="0.17920571245186134"/>
    <s v="HIGH"/>
    <n v="0.05"/>
  </r>
  <r>
    <n v="10891"/>
    <s v="15-Jul-2025"/>
    <x v="170"/>
    <x v="3"/>
    <s v="Gujarat"/>
    <x v="2"/>
    <s v="Living Room"/>
    <s v="Sofa"/>
    <n v="3"/>
    <n v="4398.75"/>
    <n v="1204.56"/>
    <x v="0"/>
    <x v="2"/>
    <x v="2"/>
    <n v="2025"/>
    <s v="Q3"/>
    <n v="0.27384143222506391"/>
    <s v="MEDIUM"/>
    <n v="0.15"/>
  </r>
  <r>
    <n v="10892"/>
    <s v="22-Mar-2025"/>
    <x v="153"/>
    <x v="3"/>
    <s v="Gujarat"/>
    <x v="2"/>
    <s v="Tables"/>
    <s v="Table"/>
    <n v="3"/>
    <n v="10855.2"/>
    <n v="1457.31"/>
    <x v="3"/>
    <x v="0"/>
    <x v="8"/>
    <n v="2025"/>
    <s v="Q1"/>
    <n v="0.13424994472695112"/>
    <s v="HIGH"/>
    <n v="0.2"/>
  </r>
  <r>
    <n v="10893"/>
    <s v="02-Apr-2025"/>
    <x v="195"/>
    <x v="5"/>
    <s v="Karnataka"/>
    <x v="2"/>
    <s v="Living Room"/>
    <s v="Sofa"/>
    <n v="2"/>
    <n v="6750"/>
    <n v="910.73"/>
    <x v="1"/>
    <x v="4"/>
    <x v="4"/>
    <n v="2025"/>
    <s v="Q2"/>
    <n v="0.13492296296296297"/>
    <s v="HIGH"/>
    <n v="0.1"/>
  </r>
  <r>
    <n v="10894"/>
    <s v="28-Mar-2025"/>
    <x v="82"/>
    <x v="4"/>
    <s v="Telangana"/>
    <x v="0"/>
    <s v="Computers"/>
    <s v="Laptop"/>
    <n v="6"/>
    <n v="7428"/>
    <n v="1480.26"/>
    <x v="2"/>
    <x v="2"/>
    <x v="8"/>
    <n v="2025"/>
    <s v="Q1"/>
    <n v="0.19928109854604201"/>
    <s v="HIGH"/>
    <n v="0"/>
  </r>
  <r>
    <n v="10895"/>
    <s v="08-Jul-2025"/>
    <x v="53"/>
    <x v="0"/>
    <s v="Maharashtra"/>
    <x v="0"/>
    <s v="Computers"/>
    <s v="Laptop"/>
    <n v="8"/>
    <n v="12008.8"/>
    <n v="3144.98"/>
    <x v="0"/>
    <x v="4"/>
    <x v="2"/>
    <n v="2025"/>
    <s v="Q3"/>
    <n v="0.26188961428285923"/>
    <s v="HIGH"/>
    <n v="0.15"/>
  </r>
  <r>
    <n v="10896"/>
    <s v="20-Jul-2025"/>
    <x v="12"/>
    <x v="5"/>
    <s v="Karnataka"/>
    <x v="2"/>
    <s v="Office"/>
    <s v="Desk"/>
    <n v="4"/>
    <n v="12724"/>
    <n v="1493.09"/>
    <x v="2"/>
    <x v="1"/>
    <x v="2"/>
    <n v="2025"/>
    <s v="Q3"/>
    <n v="0.11734438855705752"/>
    <s v="HIGH"/>
    <n v="0"/>
  </r>
  <r>
    <n v="10897"/>
    <s v="17-Feb-2025"/>
    <x v="179"/>
    <x v="6"/>
    <s v="Maharashtra"/>
    <x v="1"/>
    <s v="Stationery"/>
    <s v="Notebook"/>
    <n v="7"/>
    <n v="23288.3"/>
    <n v="3026.01"/>
    <x v="4"/>
    <x v="2"/>
    <x v="1"/>
    <n v="2025"/>
    <s v="Q1"/>
    <n v="0.1299369211148946"/>
    <s v="HIGH"/>
    <n v="0.05"/>
  </r>
  <r>
    <n v="10898"/>
    <s v="10-Nov-2025"/>
    <x v="173"/>
    <x v="6"/>
    <s v="Maharashtra"/>
    <x v="1"/>
    <s v="Stationery"/>
    <s v="Pen"/>
    <n v="8"/>
    <n v="29432"/>
    <n v="7107"/>
    <x v="2"/>
    <x v="0"/>
    <x v="10"/>
    <n v="2025"/>
    <s v="Q4"/>
    <n v="0.24147186735525958"/>
    <s v="HIGH"/>
    <n v="0"/>
  </r>
  <r>
    <n v="10899"/>
    <s v="30-Jun-2025"/>
    <x v="113"/>
    <x v="3"/>
    <s v="Gujarat"/>
    <x v="2"/>
    <s v="Chairs"/>
    <s v="Chair"/>
    <n v="6"/>
    <n v="11542.5"/>
    <n v="3399.36"/>
    <x v="4"/>
    <x v="1"/>
    <x v="11"/>
    <n v="2025"/>
    <s v="Q2"/>
    <n v="0.29450812215724498"/>
    <s v="HIGH"/>
    <n v="0.05"/>
  </r>
  <r>
    <n v="10900"/>
    <s v="10-Oct-2025"/>
    <x v="56"/>
    <x v="2"/>
    <s v="West Bengal"/>
    <x v="0"/>
    <s v="Accessories"/>
    <s v="Keyboard"/>
    <n v="6"/>
    <n v="6492.3"/>
    <n v="669.34"/>
    <x v="4"/>
    <x v="2"/>
    <x v="7"/>
    <n v="2025"/>
    <s v="Q4"/>
    <n v="0.10309751551838332"/>
    <s v="HIGH"/>
    <n v="0.05"/>
  </r>
  <r>
    <n v="10901"/>
    <s v="31-Jul-2025"/>
    <x v="176"/>
    <x v="2"/>
    <s v="West Bengal"/>
    <x v="1"/>
    <s v="Stationery"/>
    <s v="Marker"/>
    <n v="3"/>
    <n v="568.79999999999995"/>
    <n v="164.98"/>
    <x v="3"/>
    <x v="1"/>
    <x v="2"/>
    <n v="2025"/>
    <s v="Q3"/>
    <n v="0.2900492264416315"/>
    <s v="LOW"/>
    <n v="0.2"/>
  </r>
  <r>
    <n v="10902"/>
    <s v="21-Dec-2025"/>
    <x v="134"/>
    <x v="2"/>
    <s v="West Bengal"/>
    <x v="0"/>
    <s v="Computers"/>
    <s v="Laptop"/>
    <n v="3"/>
    <n v="12924.75"/>
    <n v="3698.29"/>
    <x v="4"/>
    <x v="0"/>
    <x v="9"/>
    <n v="2025"/>
    <s v="Q4"/>
    <n v="0.28614015744985394"/>
    <s v="HIGH"/>
    <n v="0.05"/>
  </r>
  <r>
    <n v="10903"/>
    <s v="19-Jan-2025"/>
    <x v="120"/>
    <x v="0"/>
    <s v="Maharashtra"/>
    <x v="0"/>
    <s v="Accessories"/>
    <s v="Mouse"/>
    <n v="2"/>
    <n v="4068.8"/>
    <n v="834.28"/>
    <x v="3"/>
    <x v="0"/>
    <x v="0"/>
    <n v="2025"/>
    <s v="Q1"/>
    <n v="0.20504325599685411"/>
    <s v="MEDIUM"/>
    <n v="0.2"/>
  </r>
  <r>
    <n v="10904"/>
    <s v="16-Sep-2025"/>
    <x v="139"/>
    <x v="5"/>
    <s v="Karnataka"/>
    <x v="0"/>
    <s v="Computers"/>
    <s v="Laptop"/>
    <n v="8"/>
    <n v="29433.599999999999"/>
    <n v="7175.12"/>
    <x v="1"/>
    <x v="2"/>
    <x v="3"/>
    <n v="2025"/>
    <s v="Q3"/>
    <n v="0.24377310284844533"/>
    <s v="HIGH"/>
    <n v="0.1"/>
  </r>
  <r>
    <n v="10905"/>
    <s v="13-Jan-2025"/>
    <x v="57"/>
    <x v="6"/>
    <s v="Maharashtra"/>
    <x v="1"/>
    <s v="Paper"/>
    <s v="Printer Paper"/>
    <n v="5"/>
    <n v="16207"/>
    <n v="4281.66"/>
    <x v="4"/>
    <x v="3"/>
    <x v="0"/>
    <n v="2025"/>
    <s v="Q1"/>
    <n v="0.26418584562226199"/>
    <s v="HIGH"/>
    <n v="0.05"/>
  </r>
  <r>
    <n v="10906"/>
    <s v="03-Sep-2025"/>
    <x v="141"/>
    <x v="3"/>
    <s v="Gujarat"/>
    <x v="0"/>
    <s v="Accessories"/>
    <s v="Keyboard"/>
    <n v="5"/>
    <n v="17461"/>
    <n v="3969.65"/>
    <x v="4"/>
    <x v="0"/>
    <x v="3"/>
    <n v="2025"/>
    <s v="Q3"/>
    <n v="0.22734379474256916"/>
    <s v="HIGH"/>
    <n v="0.05"/>
  </r>
  <r>
    <n v="10907"/>
    <s v="14-Apr-2025"/>
    <x v="193"/>
    <x v="4"/>
    <s v="Telangana"/>
    <x v="2"/>
    <s v="Living Room"/>
    <s v="Sofa"/>
    <n v="2"/>
    <n v="7151.4"/>
    <n v="1605.78"/>
    <x v="1"/>
    <x v="3"/>
    <x v="4"/>
    <n v="2025"/>
    <s v="Q2"/>
    <n v="0.22454064938333754"/>
    <s v="HIGH"/>
    <n v="0.1"/>
  </r>
  <r>
    <n v="10908"/>
    <s v="17-May-2025"/>
    <x v="24"/>
    <x v="0"/>
    <s v="Maharashtra"/>
    <x v="2"/>
    <s v="Living Room"/>
    <s v="Sofa"/>
    <n v="6"/>
    <n v="13503.3"/>
    <n v="1850.69"/>
    <x v="4"/>
    <x v="3"/>
    <x v="6"/>
    <n v="2025"/>
    <s v="Q2"/>
    <n v="0.13705464590137226"/>
    <s v="HIGH"/>
    <n v="0.05"/>
  </r>
  <r>
    <n v="10909"/>
    <s v="23-Jan-2025"/>
    <x v="174"/>
    <x v="6"/>
    <s v="Maharashtra"/>
    <x v="1"/>
    <s v="Stationery"/>
    <s v="Notebook"/>
    <n v="1"/>
    <n v="3958.4"/>
    <n v="437.05"/>
    <x v="3"/>
    <x v="4"/>
    <x v="0"/>
    <n v="2025"/>
    <s v="Q1"/>
    <n v="0.11041077202910267"/>
    <s v="MEDIUM"/>
    <n v="0.2"/>
  </r>
  <r>
    <n v="10910"/>
    <s v="17-May-2025"/>
    <x v="112"/>
    <x v="3"/>
    <s v="Gujarat"/>
    <x v="2"/>
    <s v="Office"/>
    <s v="Desk"/>
    <n v="3"/>
    <n v="9765.6"/>
    <n v="2908.87"/>
    <x v="3"/>
    <x v="0"/>
    <x v="6"/>
    <n v="2025"/>
    <s v="Q2"/>
    <n v="0.29786905054476936"/>
    <s v="HIGH"/>
    <n v="0.2"/>
  </r>
  <r>
    <n v="10911"/>
    <s v="07-Feb-2025"/>
    <x v="109"/>
    <x v="1"/>
    <s v="Tamil Nadu"/>
    <x v="2"/>
    <s v="Office"/>
    <s v="Desk"/>
    <n v="8"/>
    <n v="29544"/>
    <n v="7079.57"/>
    <x v="2"/>
    <x v="1"/>
    <x v="1"/>
    <n v="2025"/>
    <s v="Q1"/>
    <n v="0.23962801245599782"/>
    <s v="HIGH"/>
    <n v="0"/>
  </r>
  <r>
    <n v="10912"/>
    <s v="09-Nov-2025"/>
    <x v="185"/>
    <x v="6"/>
    <s v="Maharashtra"/>
    <x v="2"/>
    <s v="Living Room"/>
    <s v="Sofa"/>
    <n v="8"/>
    <n v="20678.400000000001"/>
    <n v="3153.25"/>
    <x v="3"/>
    <x v="1"/>
    <x v="10"/>
    <n v="2025"/>
    <s v="Q4"/>
    <n v="0.15249003791395851"/>
    <s v="HIGH"/>
    <n v="0.2"/>
  </r>
  <r>
    <n v="10913"/>
    <s v="17-Nov-2025"/>
    <x v="6"/>
    <x v="4"/>
    <s v="Telangana"/>
    <x v="2"/>
    <s v="Office"/>
    <s v="Desk"/>
    <n v="6"/>
    <n v="19211.7"/>
    <n v="4973.82"/>
    <x v="0"/>
    <x v="1"/>
    <x v="10"/>
    <n v="2025"/>
    <s v="Q4"/>
    <n v="0.25889536063961022"/>
    <s v="HIGH"/>
    <n v="0.15"/>
  </r>
  <r>
    <n v="10914"/>
    <s v="28-Mar-2025"/>
    <x v="48"/>
    <x v="5"/>
    <s v="Karnataka"/>
    <x v="1"/>
    <s v="Stationery"/>
    <s v="Pen"/>
    <n v="5"/>
    <n v="5044.5"/>
    <n v="1252.9100000000001"/>
    <x v="1"/>
    <x v="0"/>
    <x v="8"/>
    <n v="2025"/>
    <s v="Q1"/>
    <n v="0.24837149370601647"/>
    <s v="HIGH"/>
    <n v="0.1"/>
  </r>
  <r>
    <n v="10915"/>
    <s v="10-Aug-2025"/>
    <x v="152"/>
    <x v="1"/>
    <s v="Tamil Nadu"/>
    <x v="0"/>
    <s v="Audio"/>
    <s v="Headphones"/>
    <n v="6"/>
    <n v="12301.2"/>
    <n v="2507.7199999999998"/>
    <x v="1"/>
    <x v="3"/>
    <x v="5"/>
    <n v="2025"/>
    <s v="Q3"/>
    <n v="0.20385978603713456"/>
    <s v="HIGH"/>
    <n v="0.1"/>
  </r>
  <r>
    <n v="10916"/>
    <s v="27-Dec-2025"/>
    <x v="41"/>
    <x v="1"/>
    <s v="Tamil Nadu"/>
    <x v="2"/>
    <s v="Tables"/>
    <s v="Table"/>
    <n v="7"/>
    <n v="25436.25"/>
    <n v="5762.56"/>
    <x v="0"/>
    <x v="2"/>
    <x v="9"/>
    <n v="2025"/>
    <s v="Q4"/>
    <n v="0.22654911789277116"/>
    <s v="HIGH"/>
    <n v="0.15"/>
  </r>
  <r>
    <n v="10917"/>
    <s v="09-Dec-2025"/>
    <x v="92"/>
    <x v="5"/>
    <s v="Karnataka"/>
    <x v="2"/>
    <s v="Office"/>
    <s v="Desk"/>
    <n v="4"/>
    <n v="2663.8"/>
    <n v="259.89999999999998"/>
    <x v="4"/>
    <x v="2"/>
    <x v="9"/>
    <n v="2025"/>
    <s v="Q4"/>
    <n v="9.7567384938809204E-2"/>
    <s v="MEDIUM"/>
    <n v="0.05"/>
  </r>
  <r>
    <n v="10918"/>
    <s v="26-Apr-2025"/>
    <x v="83"/>
    <x v="4"/>
    <s v="Telangana"/>
    <x v="0"/>
    <s v="Accessories"/>
    <s v="Keyboard"/>
    <n v="6"/>
    <n v="24798"/>
    <n v="3248.61"/>
    <x v="2"/>
    <x v="0"/>
    <x v="4"/>
    <n v="2025"/>
    <s v="Q2"/>
    <n v="0.13100290345995647"/>
    <s v="HIGH"/>
    <n v="0"/>
  </r>
  <r>
    <n v="10919"/>
    <s v="20-Oct-2025"/>
    <x v="78"/>
    <x v="6"/>
    <s v="Maharashtra"/>
    <x v="1"/>
    <s v="Paper"/>
    <s v="Printer Paper"/>
    <n v="4"/>
    <n v="18570.599999999999"/>
    <n v="3383.3"/>
    <x v="4"/>
    <x v="3"/>
    <x v="7"/>
    <n v="2025"/>
    <s v="Q4"/>
    <n v="0.18218582059814978"/>
    <s v="HIGH"/>
    <n v="0.05"/>
  </r>
  <r>
    <n v="10920"/>
    <s v="02-Oct-2025"/>
    <x v="149"/>
    <x v="0"/>
    <s v="Maharashtra"/>
    <x v="2"/>
    <s v="Office"/>
    <s v="Desk"/>
    <n v="1"/>
    <n v="3232"/>
    <n v="526.66"/>
    <x v="2"/>
    <x v="2"/>
    <x v="7"/>
    <n v="2025"/>
    <s v="Q4"/>
    <n v="0.16295173267326732"/>
    <s v="MEDIUM"/>
    <n v="0"/>
  </r>
  <r>
    <n v="10921"/>
    <s v="04-Apr-2025"/>
    <x v="83"/>
    <x v="0"/>
    <s v="Maharashtra"/>
    <x v="2"/>
    <s v="Office"/>
    <s v="Desk"/>
    <n v="6"/>
    <n v="5411.1"/>
    <n v="826.81"/>
    <x v="0"/>
    <x v="0"/>
    <x v="4"/>
    <n v="2025"/>
    <s v="Q2"/>
    <n v="0.15279887638372971"/>
    <s v="HIGH"/>
    <n v="0.15"/>
  </r>
  <r>
    <n v="10922"/>
    <s v="20-Sep-2025"/>
    <x v="69"/>
    <x v="1"/>
    <s v="Tamil Nadu"/>
    <x v="0"/>
    <s v="Accessories"/>
    <s v="Mouse"/>
    <n v="1"/>
    <n v="462.4"/>
    <n v="58.62"/>
    <x v="0"/>
    <x v="1"/>
    <x v="3"/>
    <n v="2025"/>
    <s v="Q3"/>
    <n v="0.1267733564013841"/>
    <s v="LOW"/>
    <n v="0.15"/>
  </r>
  <r>
    <n v="10923"/>
    <s v="09-Nov-2025"/>
    <x v="29"/>
    <x v="6"/>
    <s v="Maharashtra"/>
    <x v="2"/>
    <s v="Office"/>
    <s v="Desk"/>
    <n v="4"/>
    <n v="14595.8"/>
    <n v="2961.91"/>
    <x v="4"/>
    <x v="2"/>
    <x v="10"/>
    <n v="2025"/>
    <s v="Q4"/>
    <n v="0.20292892475917729"/>
    <s v="HIGH"/>
    <n v="0.05"/>
  </r>
  <r>
    <n v="10924"/>
    <s v="01-Aug-2025"/>
    <x v="53"/>
    <x v="4"/>
    <s v="Telangana"/>
    <x v="2"/>
    <s v="Living Room"/>
    <s v="Sofa"/>
    <n v="8"/>
    <n v="17142.8"/>
    <n v="3782.41"/>
    <x v="0"/>
    <x v="3"/>
    <x v="5"/>
    <n v="2025"/>
    <s v="Q3"/>
    <n v="0.22064131880439602"/>
    <s v="HIGH"/>
    <n v="0.15"/>
  </r>
  <r>
    <n v="10925"/>
    <s v="09-May-2025"/>
    <x v="122"/>
    <x v="1"/>
    <s v="Tamil Nadu"/>
    <x v="2"/>
    <s v="Tables"/>
    <s v="Table"/>
    <n v="3"/>
    <n v="9556.0499999999993"/>
    <n v="2032.75"/>
    <x v="4"/>
    <x v="4"/>
    <x v="6"/>
    <n v="2025"/>
    <s v="Q2"/>
    <n v="0.21271864420968917"/>
    <s v="HIGH"/>
    <n v="0.05"/>
  </r>
  <r>
    <n v="10926"/>
    <s v="05-Dec-2025"/>
    <x v="157"/>
    <x v="2"/>
    <s v="West Bengal"/>
    <x v="2"/>
    <s v="Tables"/>
    <s v="Table"/>
    <n v="5"/>
    <n v="9101"/>
    <n v="1339.67"/>
    <x v="4"/>
    <x v="2"/>
    <x v="9"/>
    <n v="2025"/>
    <s v="Q4"/>
    <n v="0.14720030765849906"/>
    <s v="HIGH"/>
    <n v="0.05"/>
  </r>
  <r>
    <n v="10927"/>
    <s v="21-Dec-2025"/>
    <x v="35"/>
    <x v="3"/>
    <s v="Gujarat"/>
    <x v="1"/>
    <s v="Paper"/>
    <s v="Printer Paper"/>
    <n v="8"/>
    <n v="12251.2"/>
    <n v="1710.78"/>
    <x v="4"/>
    <x v="0"/>
    <x v="9"/>
    <n v="2025"/>
    <s v="Q4"/>
    <n v="0.13964183100430977"/>
    <s v="HIGH"/>
    <n v="0.05"/>
  </r>
  <r>
    <n v="10928"/>
    <s v="05-Sep-2025"/>
    <x v="108"/>
    <x v="1"/>
    <s v="Tamil Nadu"/>
    <x v="0"/>
    <s v="Audio"/>
    <s v="Headphones"/>
    <n v="3"/>
    <n v="9436.35"/>
    <n v="1273.21"/>
    <x v="4"/>
    <x v="0"/>
    <x v="3"/>
    <n v="2025"/>
    <s v="Q3"/>
    <n v="0.13492611020150799"/>
    <s v="HIGH"/>
    <n v="0.05"/>
  </r>
  <r>
    <n v="10929"/>
    <s v="01-Apr-2025"/>
    <x v="22"/>
    <x v="1"/>
    <s v="Tamil Nadu"/>
    <x v="1"/>
    <s v="Stationery"/>
    <s v="Notebook"/>
    <n v="5"/>
    <n v="20264"/>
    <n v="4915.6499999999996"/>
    <x v="0"/>
    <x v="4"/>
    <x v="4"/>
    <n v="2025"/>
    <s v="Q2"/>
    <n v="0.24258043821555467"/>
    <s v="HIGH"/>
    <n v="0.15"/>
  </r>
  <r>
    <n v="10930"/>
    <s v="19-Jan-2025"/>
    <x v="72"/>
    <x v="7"/>
    <s v="Delhi"/>
    <x v="1"/>
    <s v="Stationery"/>
    <s v="Notebook"/>
    <n v="8"/>
    <n v="22678.400000000001"/>
    <n v="5085.12"/>
    <x v="4"/>
    <x v="4"/>
    <x v="0"/>
    <n v="2025"/>
    <s v="Q1"/>
    <n v="0.22422745872724706"/>
    <s v="HIGH"/>
    <n v="0.05"/>
  </r>
  <r>
    <n v="10931"/>
    <s v="12-Jan-2025"/>
    <x v="127"/>
    <x v="5"/>
    <s v="Karnataka"/>
    <x v="0"/>
    <s v="Accessories"/>
    <s v="Mouse"/>
    <n v="5"/>
    <n v="20535"/>
    <n v="5867.39"/>
    <x v="2"/>
    <x v="1"/>
    <x v="0"/>
    <n v="2025"/>
    <s v="Q1"/>
    <n v="0.28572632091551015"/>
    <s v="HIGH"/>
    <n v="0"/>
  </r>
  <r>
    <n v="10932"/>
    <s v="03-Sep-2025"/>
    <x v="162"/>
    <x v="6"/>
    <s v="Maharashtra"/>
    <x v="1"/>
    <s v="Stationery"/>
    <s v="Marker"/>
    <n v="8"/>
    <n v="822.8"/>
    <n v="80.16"/>
    <x v="0"/>
    <x v="3"/>
    <x v="3"/>
    <n v="2025"/>
    <s v="Q3"/>
    <n v="9.7423432182790468E-2"/>
    <s v="LOW"/>
    <n v="0.15"/>
  </r>
  <r>
    <n v="10933"/>
    <s v="25-Sep-2025"/>
    <x v="144"/>
    <x v="4"/>
    <s v="Telangana"/>
    <x v="0"/>
    <s v="Accessories"/>
    <s v="Keyboard"/>
    <n v="4"/>
    <n v="12256"/>
    <n v="2304.15"/>
    <x v="2"/>
    <x v="1"/>
    <x v="3"/>
    <n v="2025"/>
    <s v="Q3"/>
    <n v="0.1880017950391645"/>
    <s v="HIGH"/>
    <n v="0"/>
  </r>
  <r>
    <n v="10934"/>
    <s v="26-Sep-2025"/>
    <x v="96"/>
    <x v="2"/>
    <s v="West Bengal"/>
    <x v="0"/>
    <s v="Audio"/>
    <s v="Headphones"/>
    <n v="6"/>
    <n v="28260.6"/>
    <n v="2778.34"/>
    <x v="4"/>
    <x v="2"/>
    <x v="3"/>
    <n v="2025"/>
    <s v="Q3"/>
    <n v="9.8311430047486617E-2"/>
    <s v="HIGH"/>
    <n v="0.05"/>
  </r>
  <r>
    <n v="10935"/>
    <s v="11-Jul-2025"/>
    <x v="196"/>
    <x v="5"/>
    <s v="Karnataka"/>
    <x v="1"/>
    <s v="Stationery"/>
    <s v="Marker"/>
    <n v="3"/>
    <n v="8289"/>
    <n v="2396.17"/>
    <x v="2"/>
    <x v="1"/>
    <x v="2"/>
    <n v="2025"/>
    <s v="Q3"/>
    <n v="0.28907829653757994"/>
    <s v="HIGH"/>
    <n v="0"/>
  </r>
  <r>
    <n v="10936"/>
    <s v="02-Jan-2025"/>
    <x v="145"/>
    <x v="1"/>
    <s v="Tamil Nadu"/>
    <x v="2"/>
    <s v="Living Room"/>
    <s v="Sofa"/>
    <n v="3"/>
    <n v="10014.9"/>
    <n v="1456.63"/>
    <x v="4"/>
    <x v="3"/>
    <x v="0"/>
    <n v="2025"/>
    <s v="Q1"/>
    <n v="0.14544628503529741"/>
    <s v="HIGH"/>
    <n v="0.05"/>
  </r>
  <r>
    <n v="10937"/>
    <s v="10-Aug-2025"/>
    <x v="90"/>
    <x v="7"/>
    <s v="Delhi"/>
    <x v="1"/>
    <s v="Stationery"/>
    <s v="Marker"/>
    <n v="8"/>
    <n v="8466"/>
    <n v="2206.4499999999998"/>
    <x v="0"/>
    <x v="0"/>
    <x v="5"/>
    <n v="2025"/>
    <s v="Q3"/>
    <n v="0.26062485235057875"/>
    <s v="HIGH"/>
    <n v="0.15"/>
  </r>
  <r>
    <n v="10938"/>
    <s v="13-Mar-2025"/>
    <x v="75"/>
    <x v="1"/>
    <s v="Tamil Nadu"/>
    <x v="2"/>
    <s v="Tables"/>
    <s v="Table"/>
    <n v="8"/>
    <n v="21002.400000000001"/>
    <n v="6014.07"/>
    <x v="1"/>
    <x v="3"/>
    <x v="8"/>
    <n v="2025"/>
    <s v="Q1"/>
    <n v="0.2863515598217346"/>
    <s v="HIGH"/>
    <n v="0.1"/>
  </r>
  <r>
    <n v="10939"/>
    <s v="21-Mar-2025"/>
    <x v="42"/>
    <x v="3"/>
    <s v="Gujarat"/>
    <x v="2"/>
    <s v="Chairs"/>
    <s v="Chair"/>
    <n v="2"/>
    <n v="8021.8"/>
    <n v="2116.54"/>
    <x v="4"/>
    <x v="2"/>
    <x v="8"/>
    <n v="2025"/>
    <s v="Q1"/>
    <n v="0.26384851280261284"/>
    <s v="HIGH"/>
    <n v="0.05"/>
  </r>
  <r>
    <n v="10940"/>
    <s v="06-Sep-2025"/>
    <x v="22"/>
    <x v="7"/>
    <s v="Delhi"/>
    <x v="1"/>
    <s v="Stationery"/>
    <s v="Pen"/>
    <n v="7"/>
    <n v="18921"/>
    <n v="1578.99"/>
    <x v="0"/>
    <x v="3"/>
    <x v="3"/>
    <n v="2025"/>
    <s v="Q3"/>
    <n v="8.3451720310765823E-2"/>
    <s v="HIGH"/>
    <n v="0.15"/>
  </r>
  <r>
    <n v="10941"/>
    <s v="17-Oct-2025"/>
    <x v="65"/>
    <x v="4"/>
    <s v="Telangana"/>
    <x v="2"/>
    <s v="Tables"/>
    <s v="Table"/>
    <n v="8"/>
    <n v="23184"/>
    <n v="5628.61"/>
    <x v="2"/>
    <x v="2"/>
    <x v="7"/>
    <n v="2025"/>
    <s v="Q4"/>
    <n v="0.24277993443754312"/>
    <s v="HIGH"/>
    <n v="0"/>
  </r>
  <r>
    <n v="10942"/>
    <s v="09-Jan-2025"/>
    <x v="67"/>
    <x v="6"/>
    <s v="Maharashtra"/>
    <x v="1"/>
    <s v="Paper"/>
    <s v="Printer Paper"/>
    <n v="6"/>
    <n v="4374"/>
    <n v="832.14"/>
    <x v="1"/>
    <x v="4"/>
    <x v="0"/>
    <n v="2025"/>
    <s v="Q1"/>
    <n v="0.19024691358024692"/>
    <s v="MEDIUM"/>
    <n v="0.1"/>
  </r>
  <r>
    <n v="10943"/>
    <s v="19-Mar-2025"/>
    <x v="185"/>
    <x v="6"/>
    <s v="Maharashtra"/>
    <x v="1"/>
    <s v="Stationery"/>
    <s v="Notebook"/>
    <n v="2"/>
    <n v="6823.8"/>
    <n v="1029.3599999999999"/>
    <x v="1"/>
    <x v="0"/>
    <x v="8"/>
    <n v="2025"/>
    <s v="Q1"/>
    <n v="0.15084850083531168"/>
    <s v="HIGH"/>
    <n v="0.1"/>
  </r>
  <r>
    <n v="10944"/>
    <s v="04-Dec-2025"/>
    <x v="192"/>
    <x v="0"/>
    <s v="Maharashtra"/>
    <x v="2"/>
    <s v="Tables"/>
    <s v="Table"/>
    <n v="8"/>
    <n v="2278"/>
    <n v="340.47"/>
    <x v="0"/>
    <x v="2"/>
    <x v="9"/>
    <n v="2025"/>
    <s v="Q4"/>
    <n v="0.14946005267778756"/>
    <s v="MEDIUM"/>
    <n v="0.15"/>
  </r>
  <r>
    <n v="10945"/>
    <s v="23-Aug-2025"/>
    <x v="38"/>
    <x v="4"/>
    <s v="Telangana"/>
    <x v="0"/>
    <s v="Computers"/>
    <s v="Laptop"/>
    <n v="8"/>
    <n v="1497.2"/>
    <n v="321.35000000000002"/>
    <x v="4"/>
    <x v="0"/>
    <x v="5"/>
    <n v="2025"/>
    <s v="Q3"/>
    <n v="0.21463398343574674"/>
    <s v="MEDIUM"/>
    <n v="0.05"/>
  </r>
  <r>
    <n v="10946"/>
    <s v="20-Apr-2025"/>
    <x v="156"/>
    <x v="4"/>
    <s v="Telangana"/>
    <x v="1"/>
    <s v="Stationery"/>
    <s v="Pen"/>
    <n v="2"/>
    <n v="2488"/>
    <n v="397.55"/>
    <x v="3"/>
    <x v="0"/>
    <x v="4"/>
    <n v="2025"/>
    <s v="Q2"/>
    <n v="0.15978697749196141"/>
    <s v="MEDIUM"/>
    <n v="0.2"/>
  </r>
  <r>
    <n v="10947"/>
    <s v="02-Sep-2025"/>
    <x v="152"/>
    <x v="5"/>
    <s v="Karnataka"/>
    <x v="1"/>
    <s v="Paper"/>
    <s v="Printer Paper"/>
    <n v="4"/>
    <n v="18597.2"/>
    <n v="5156.83"/>
    <x v="4"/>
    <x v="2"/>
    <x v="3"/>
    <n v="2025"/>
    <s v="Q3"/>
    <n v="0.27729066741229863"/>
    <s v="HIGH"/>
    <n v="0.05"/>
  </r>
  <r>
    <n v="10948"/>
    <s v="29-Mar-2025"/>
    <x v="102"/>
    <x v="6"/>
    <s v="Maharashtra"/>
    <x v="0"/>
    <s v="Audio"/>
    <s v="Headphones"/>
    <n v="1"/>
    <n v="813.45"/>
    <n v="213.5"/>
    <x v="0"/>
    <x v="2"/>
    <x v="8"/>
    <n v="2025"/>
    <s v="Q1"/>
    <n v="0.26246235171184462"/>
    <s v="LOW"/>
    <n v="0.15"/>
  </r>
  <r>
    <n v="10949"/>
    <s v="03-Nov-2025"/>
    <x v="114"/>
    <x v="5"/>
    <s v="Karnataka"/>
    <x v="2"/>
    <s v="Office"/>
    <s v="Desk"/>
    <n v="6"/>
    <n v="5732.4"/>
    <n v="1217.07"/>
    <x v="0"/>
    <x v="0"/>
    <x v="10"/>
    <n v="2025"/>
    <s v="Q4"/>
    <n v="0.21231421394180447"/>
    <s v="HIGH"/>
    <n v="0.15"/>
  </r>
  <r>
    <n v="10950"/>
    <s v="28-Sep-2025"/>
    <x v="81"/>
    <x v="3"/>
    <s v="Gujarat"/>
    <x v="1"/>
    <s v="Stationery"/>
    <s v="Marker"/>
    <n v="6"/>
    <n v="11776.2"/>
    <n v="1735.55"/>
    <x v="4"/>
    <x v="4"/>
    <x v="3"/>
    <n v="2025"/>
    <s v="Q3"/>
    <n v="0.14737776192659771"/>
    <s v="HIGH"/>
    <n v="0.05"/>
  </r>
  <r>
    <n v="10951"/>
    <s v="12-Oct-2025"/>
    <x v="175"/>
    <x v="5"/>
    <s v="Karnataka"/>
    <x v="2"/>
    <s v="Office"/>
    <s v="Desk"/>
    <n v="2"/>
    <n v="4987.8"/>
    <n v="1106.44"/>
    <x v="1"/>
    <x v="4"/>
    <x v="7"/>
    <n v="2025"/>
    <s v="Q4"/>
    <n v="0.22182926340270259"/>
    <s v="MEDIUM"/>
    <n v="0.1"/>
  </r>
  <r>
    <n v="10952"/>
    <s v="12-May-2025"/>
    <x v="159"/>
    <x v="6"/>
    <s v="Maharashtra"/>
    <x v="2"/>
    <s v="Tables"/>
    <s v="Table"/>
    <n v="6"/>
    <n v="19776"/>
    <n v="4014.51"/>
    <x v="2"/>
    <x v="1"/>
    <x v="6"/>
    <n v="2025"/>
    <s v="Q2"/>
    <n v="0.20299908980582526"/>
    <s v="HIGH"/>
    <n v="0"/>
  </r>
  <r>
    <n v="10953"/>
    <s v="29-Aug-2025"/>
    <x v="187"/>
    <x v="7"/>
    <s v="Delhi"/>
    <x v="1"/>
    <s v="Stationery"/>
    <s v="Pen"/>
    <n v="7"/>
    <n v="28329"/>
    <n v="5787.93"/>
    <x v="4"/>
    <x v="3"/>
    <x v="5"/>
    <n v="2025"/>
    <s v="Q3"/>
    <n v="0.20431112993751988"/>
    <s v="HIGH"/>
    <n v="0.05"/>
  </r>
  <r>
    <n v="10954"/>
    <s v="25-Jan-2025"/>
    <x v="1"/>
    <x v="4"/>
    <s v="Telangana"/>
    <x v="2"/>
    <s v="Chairs"/>
    <s v="Chair"/>
    <n v="4"/>
    <n v="12817.4"/>
    <n v="3532.34"/>
    <x v="4"/>
    <x v="0"/>
    <x v="0"/>
    <n v="2025"/>
    <s v="Q1"/>
    <n v="0.27558943311436018"/>
    <s v="HIGH"/>
    <n v="0.05"/>
  </r>
  <r>
    <n v="10955"/>
    <s v="15-Jul-2025"/>
    <x v="30"/>
    <x v="3"/>
    <s v="Gujarat"/>
    <x v="2"/>
    <s v="Chairs"/>
    <s v="Chair"/>
    <n v="1"/>
    <n v="1565.7"/>
    <n v="304.22000000000003"/>
    <x v="0"/>
    <x v="1"/>
    <x v="2"/>
    <n v="2025"/>
    <s v="Q3"/>
    <n v="0.19430286772689534"/>
    <s v="MEDIUM"/>
    <n v="0.15"/>
  </r>
  <r>
    <n v="10956"/>
    <s v="24-May-2025"/>
    <x v="180"/>
    <x v="3"/>
    <s v="Gujarat"/>
    <x v="1"/>
    <s v="Stationery"/>
    <s v="Marker"/>
    <n v="6"/>
    <n v="15022.8"/>
    <n v="4064.03"/>
    <x v="1"/>
    <x v="0"/>
    <x v="6"/>
    <n v="2025"/>
    <s v="Q2"/>
    <n v="0.27052413664563202"/>
    <s v="HIGH"/>
    <n v="0.1"/>
  </r>
  <r>
    <n v="10957"/>
    <s v="20-Mar-2025"/>
    <x v="181"/>
    <x v="2"/>
    <s v="West Bengal"/>
    <x v="1"/>
    <s v="Paper"/>
    <s v="Printer Paper"/>
    <n v="5"/>
    <n v="10939.5"/>
    <n v="1939.24"/>
    <x v="1"/>
    <x v="3"/>
    <x v="8"/>
    <n v="2025"/>
    <s v="Q1"/>
    <n v="0.17726952785776315"/>
    <s v="HIGH"/>
    <n v="0.1"/>
  </r>
  <r>
    <n v="10958"/>
    <s v="03-Jul-2025"/>
    <x v="100"/>
    <x v="1"/>
    <s v="Tamil Nadu"/>
    <x v="0"/>
    <s v="Computers"/>
    <s v="Laptop"/>
    <n v="7"/>
    <n v="2673.3"/>
    <n v="530.6"/>
    <x v="4"/>
    <x v="2"/>
    <x v="2"/>
    <n v="2025"/>
    <s v="Q3"/>
    <n v="0.19848127782141922"/>
    <s v="MEDIUM"/>
    <n v="0.05"/>
  </r>
  <r>
    <n v="10959"/>
    <s v="08-May-2025"/>
    <x v="165"/>
    <x v="3"/>
    <s v="Gujarat"/>
    <x v="0"/>
    <s v="Audio"/>
    <s v="Headphones"/>
    <n v="1"/>
    <n v="1204.45"/>
    <n v="302.51"/>
    <x v="0"/>
    <x v="4"/>
    <x v="6"/>
    <n v="2025"/>
    <s v="Q2"/>
    <n v="0.25116028062601187"/>
    <s v="MEDIUM"/>
    <n v="0.15"/>
  </r>
  <r>
    <n v="10960"/>
    <s v="12-Nov-2025"/>
    <x v="197"/>
    <x v="6"/>
    <s v="Maharashtra"/>
    <x v="2"/>
    <s v="Office"/>
    <s v="Desk"/>
    <n v="5"/>
    <n v="21250"/>
    <n v="2431.11"/>
    <x v="0"/>
    <x v="1"/>
    <x v="10"/>
    <n v="2025"/>
    <s v="Q4"/>
    <n v="0.11440517647058825"/>
    <s v="HIGH"/>
    <n v="0.15"/>
  </r>
  <r>
    <n v="10961"/>
    <s v="07-Sep-2025"/>
    <x v="59"/>
    <x v="4"/>
    <s v="Telangana"/>
    <x v="1"/>
    <s v="Stationery"/>
    <s v="Notebook"/>
    <n v="8"/>
    <n v="16120"/>
    <n v="4065.49"/>
    <x v="2"/>
    <x v="1"/>
    <x v="3"/>
    <n v="2025"/>
    <s v="Q3"/>
    <n v="0.25220161290322579"/>
    <s v="HIGH"/>
    <n v="0"/>
  </r>
  <r>
    <n v="10962"/>
    <s v="10-Dec-2025"/>
    <x v="47"/>
    <x v="4"/>
    <s v="Telangana"/>
    <x v="1"/>
    <s v="Stationery"/>
    <s v="Pen"/>
    <n v="3"/>
    <n v="8902.0499999999993"/>
    <n v="1021.25"/>
    <x v="0"/>
    <x v="3"/>
    <x v="9"/>
    <n v="2025"/>
    <s v="Q4"/>
    <n v="0.1147207665650047"/>
    <s v="HIGH"/>
    <n v="0.15"/>
  </r>
  <r>
    <n v="10963"/>
    <s v="03-Feb-2025"/>
    <x v="174"/>
    <x v="4"/>
    <s v="Telangana"/>
    <x v="0"/>
    <s v="Accessories"/>
    <s v="Keyboard"/>
    <n v="3"/>
    <n v="13281.3"/>
    <n v="1587.92"/>
    <x v="1"/>
    <x v="1"/>
    <x v="1"/>
    <n v="2025"/>
    <s v="Q1"/>
    <n v="0.11956058518367932"/>
    <s v="HIGH"/>
    <n v="0.1"/>
  </r>
  <r>
    <n v="10964"/>
    <s v="09-Mar-2025"/>
    <x v="23"/>
    <x v="0"/>
    <s v="Maharashtra"/>
    <x v="1"/>
    <s v="Stationery"/>
    <s v="Notebook"/>
    <n v="8"/>
    <n v="17580.8"/>
    <n v="1634.08"/>
    <x v="3"/>
    <x v="3"/>
    <x v="8"/>
    <n v="2025"/>
    <s v="Q1"/>
    <n v="9.2946851110302153E-2"/>
    <s v="HIGH"/>
    <n v="0.2"/>
  </r>
  <r>
    <n v="10965"/>
    <s v="06-Jun-2025"/>
    <x v="143"/>
    <x v="6"/>
    <s v="Maharashtra"/>
    <x v="0"/>
    <s v="Audio"/>
    <s v="Headphones"/>
    <n v="3"/>
    <n v="1354.05"/>
    <n v="183.73"/>
    <x v="0"/>
    <x v="2"/>
    <x v="11"/>
    <n v="2025"/>
    <s v="Q2"/>
    <n v="0.1356892286104649"/>
    <s v="MEDIUM"/>
    <n v="0.15"/>
  </r>
  <r>
    <n v="10966"/>
    <s v="13-Dec-2025"/>
    <x v="59"/>
    <x v="2"/>
    <s v="West Bengal"/>
    <x v="2"/>
    <s v="Chairs"/>
    <s v="Chair"/>
    <n v="7"/>
    <n v="34405"/>
    <n v="4505.5200000000004"/>
    <x v="2"/>
    <x v="0"/>
    <x v="9"/>
    <n v="2025"/>
    <s v="Q4"/>
    <n v="0.13095538439180354"/>
    <s v="HIGH"/>
    <n v="0"/>
  </r>
  <r>
    <n v="10967"/>
    <s v="20-Nov-2025"/>
    <x v="191"/>
    <x v="5"/>
    <s v="Karnataka"/>
    <x v="2"/>
    <s v="Chairs"/>
    <s v="Chair"/>
    <n v="8"/>
    <n v="6544.8"/>
    <n v="1622.59"/>
    <x v="1"/>
    <x v="1"/>
    <x v="10"/>
    <n v="2025"/>
    <s v="Q4"/>
    <n v="0.24792048649309373"/>
    <s v="HIGH"/>
    <n v="0.1"/>
  </r>
  <r>
    <n v="10968"/>
    <s v="25-Oct-2025"/>
    <x v="93"/>
    <x v="4"/>
    <s v="Telangana"/>
    <x v="1"/>
    <s v="Stationery"/>
    <s v="Marker"/>
    <n v="7"/>
    <n v="22535.1"/>
    <n v="2899.08"/>
    <x v="1"/>
    <x v="2"/>
    <x v="7"/>
    <n v="2025"/>
    <s v="Q4"/>
    <n v="0.1286473101960941"/>
    <s v="HIGH"/>
    <n v="0.1"/>
  </r>
  <r>
    <n v="10969"/>
    <s v="08-Jul-2025"/>
    <x v="123"/>
    <x v="3"/>
    <s v="Gujarat"/>
    <x v="0"/>
    <s v="Computers"/>
    <s v="Laptop"/>
    <n v="8"/>
    <n v="9698.4"/>
    <n v="2299.0300000000002"/>
    <x v="1"/>
    <x v="3"/>
    <x v="2"/>
    <n v="2025"/>
    <s v="Q3"/>
    <n v="0.23705250350573293"/>
    <s v="HIGH"/>
    <n v="0.1"/>
  </r>
  <r>
    <n v="10970"/>
    <s v="15-Jul-2025"/>
    <x v="182"/>
    <x v="2"/>
    <s v="West Bengal"/>
    <x v="2"/>
    <s v="Living Room"/>
    <s v="Sofa"/>
    <n v="5"/>
    <n v="19804"/>
    <n v="2953.95"/>
    <x v="3"/>
    <x v="4"/>
    <x v="2"/>
    <n v="2025"/>
    <s v="Q3"/>
    <n v="0.14915926075540295"/>
    <s v="HIGH"/>
    <n v="0.2"/>
  </r>
  <r>
    <n v="10971"/>
    <s v="13-Jan-2025"/>
    <x v="42"/>
    <x v="2"/>
    <s v="West Bengal"/>
    <x v="1"/>
    <s v="Stationery"/>
    <s v="Notebook"/>
    <n v="2"/>
    <n v="2574.5"/>
    <n v="309.83999999999997"/>
    <x v="4"/>
    <x v="2"/>
    <x v="0"/>
    <n v="2025"/>
    <s v="Q1"/>
    <n v="0.12034958244319284"/>
    <s v="MEDIUM"/>
    <n v="0.05"/>
  </r>
  <r>
    <n v="10972"/>
    <s v="26-May-2025"/>
    <x v="27"/>
    <x v="1"/>
    <s v="Tamil Nadu"/>
    <x v="1"/>
    <s v="Paper"/>
    <s v="Printer Paper"/>
    <n v="2"/>
    <n v="8649"/>
    <n v="1996.09"/>
    <x v="1"/>
    <x v="1"/>
    <x v="6"/>
    <n v="2025"/>
    <s v="Q2"/>
    <n v="0.2307885304659498"/>
    <s v="HIGH"/>
    <n v="0.1"/>
  </r>
  <r>
    <n v="10973"/>
    <s v="29-Jan-2025"/>
    <x v="33"/>
    <x v="1"/>
    <s v="Tamil Nadu"/>
    <x v="2"/>
    <s v="Chairs"/>
    <s v="Chair"/>
    <n v="6"/>
    <n v="12106.8"/>
    <n v="3263.86"/>
    <x v="4"/>
    <x v="3"/>
    <x v="0"/>
    <n v="2025"/>
    <s v="Q1"/>
    <n v="0.26958899131066844"/>
    <s v="HIGH"/>
    <n v="0.05"/>
  </r>
  <r>
    <n v="10974"/>
    <s v="27-Mar-2025"/>
    <x v="117"/>
    <x v="1"/>
    <s v="Tamil Nadu"/>
    <x v="0"/>
    <s v="Audio"/>
    <s v="Headphones"/>
    <n v="2"/>
    <n v="3009.6"/>
    <n v="877.9"/>
    <x v="4"/>
    <x v="2"/>
    <x v="8"/>
    <n v="2025"/>
    <s v="Q1"/>
    <n v="0.2916998936735779"/>
    <s v="MEDIUM"/>
    <n v="0.05"/>
  </r>
  <r>
    <n v="10975"/>
    <s v="06-Feb-2025"/>
    <x v="89"/>
    <x v="6"/>
    <s v="Maharashtra"/>
    <x v="1"/>
    <s v="Stationery"/>
    <s v="Notebook"/>
    <n v="3"/>
    <n v="7302"/>
    <n v="1270.3800000000001"/>
    <x v="2"/>
    <x v="0"/>
    <x v="1"/>
    <n v="2025"/>
    <s v="Q1"/>
    <n v="0.17397699260476585"/>
    <s v="HIGH"/>
    <n v="0"/>
  </r>
  <r>
    <n v="10976"/>
    <s v="09-Jun-2025"/>
    <x v="190"/>
    <x v="7"/>
    <s v="Delhi"/>
    <x v="2"/>
    <s v="Chairs"/>
    <s v="Chair"/>
    <n v="2"/>
    <n v="1700"/>
    <n v="479.34"/>
    <x v="0"/>
    <x v="2"/>
    <x v="11"/>
    <n v="2025"/>
    <s v="Q2"/>
    <n v="0.28196470588235295"/>
    <s v="MEDIUM"/>
    <n v="0.15"/>
  </r>
  <r>
    <n v="10977"/>
    <s v="08-Aug-2025"/>
    <x v="198"/>
    <x v="1"/>
    <s v="Tamil Nadu"/>
    <x v="0"/>
    <s v="Audio"/>
    <s v="Headphones"/>
    <n v="4"/>
    <n v="13232.8"/>
    <n v="1680.82"/>
    <x v="0"/>
    <x v="4"/>
    <x v="5"/>
    <n v="2025"/>
    <s v="Q3"/>
    <n v="0.12701922495616952"/>
    <s v="HIGH"/>
    <n v="0.15"/>
  </r>
  <r>
    <n v="10978"/>
    <s v="02-Apr-2025"/>
    <x v="133"/>
    <x v="4"/>
    <s v="Telangana"/>
    <x v="0"/>
    <s v="Audio"/>
    <s v="Headphones"/>
    <n v="7"/>
    <n v="7401.8"/>
    <n v="1104.1400000000001"/>
    <x v="0"/>
    <x v="0"/>
    <x v="4"/>
    <n v="2025"/>
    <s v="Q2"/>
    <n v="0.14917182307006405"/>
    <s v="HIGH"/>
    <n v="0.15"/>
  </r>
  <r>
    <n v="10979"/>
    <s v="14-Nov-2025"/>
    <x v="40"/>
    <x v="7"/>
    <s v="Delhi"/>
    <x v="1"/>
    <s v="Paper"/>
    <s v="Printer Paper"/>
    <n v="1"/>
    <n v="294.95"/>
    <n v="51.32"/>
    <x v="0"/>
    <x v="1"/>
    <x v="10"/>
    <n v="2025"/>
    <s v="Q4"/>
    <n v="0.17399559247330057"/>
    <s v="LOW"/>
    <n v="0.15"/>
  </r>
  <r>
    <n v="10980"/>
    <s v="02-May-2025"/>
    <x v="188"/>
    <x v="3"/>
    <s v="Gujarat"/>
    <x v="2"/>
    <s v="Chairs"/>
    <s v="Chair"/>
    <n v="8"/>
    <n v="23244.799999999999"/>
    <n v="5036.1899999999996"/>
    <x v="3"/>
    <x v="2"/>
    <x v="6"/>
    <n v="2025"/>
    <s v="Q2"/>
    <n v="0.2166587795980176"/>
    <s v="HIGH"/>
    <n v="0.2"/>
  </r>
  <r>
    <n v="10981"/>
    <s v="30-Jun-2025"/>
    <x v="58"/>
    <x v="7"/>
    <s v="Delhi"/>
    <x v="1"/>
    <s v="Stationery"/>
    <s v="Pen"/>
    <n v="1"/>
    <n v="3468.85"/>
    <n v="570.03"/>
    <x v="0"/>
    <x v="3"/>
    <x v="11"/>
    <n v="2025"/>
    <s v="Q2"/>
    <n v="0.16432823558239762"/>
    <s v="MEDIUM"/>
    <n v="0.15"/>
  </r>
  <r>
    <n v="10982"/>
    <s v="21-Jan-2025"/>
    <x v="195"/>
    <x v="0"/>
    <s v="Maharashtra"/>
    <x v="0"/>
    <s v="Audio"/>
    <s v="Headphones"/>
    <n v="1"/>
    <n v="3045.55"/>
    <n v="891.37"/>
    <x v="0"/>
    <x v="4"/>
    <x v="0"/>
    <n v="2025"/>
    <s v="Q1"/>
    <n v="0.2926794831803779"/>
    <s v="MEDIUM"/>
    <n v="0.15"/>
  </r>
  <r>
    <n v="10983"/>
    <s v="13-Dec-2025"/>
    <x v="183"/>
    <x v="6"/>
    <s v="Maharashtra"/>
    <x v="0"/>
    <s v="Accessories"/>
    <s v="Mouse"/>
    <n v="3"/>
    <n v="3177.6"/>
    <n v="366.26"/>
    <x v="3"/>
    <x v="1"/>
    <x v="9"/>
    <n v="2025"/>
    <s v="Q4"/>
    <n v="0.11526309164149043"/>
    <s v="MEDIUM"/>
    <n v="0.2"/>
  </r>
  <r>
    <n v="10984"/>
    <s v="12-Apr-2025"/>
    <x v="76"/>
    <x v="2"/>
    <s v="West Bengal"/>
    <x v="0"/>
    <s v="Accessories"/>
    <s v="Mouse"/>
    <n v="1"/>
    <n v="4435.2"/>
    <n v="398.22"/>
    <x v="1"/>
    <x v="0"/>
    <x v="4"/>
    <n v="2025"/>
    <s v="Q2"/>
    <n v="8.9786255411255428E-2"/>
    <s v="MEDIUM"/>
    <n v="0.1"/>
  </r>
  <r>
    <n v="10985"/>
    <s v="06-Mar-2025"/>
    <x v="4"/>
    <x v="5"/>
    <s v="Karnataka"/>
    <x v="1"/>
    <s v="Stationery"/>
    <s v="Pen"/>
    <n v="3"/>
    <n v="6947.1"/>
    <n v="1561.36"/>
    <x v="1"/>
    <x v="1"/>
    <x v="8"/>
    <n v="2025"/>
    <s v="Q1"/>
    <n v="0.22474989563990727"/>
    <s v="HIGH"/>
    <n v="0.1"/>
  </r>
  <r>
    <n v="10986"/>
    <s v="03-Jan-2025"/>
    <x v="84"/>
    <x v="1"/>
    <s v="Tamil Nadu"/>
    <x v="1"/>
    <s v="Stationery"/>
    <s v="Pen"/>
    <n v="4"/>
    <n v="4528"/>
    <n v="808.29"/>
    <x v="2"/>
    <x v="2"/>
    <x v="0"/>
    <n v="2025"/>
    <s v="Q1"/>
    <n v="0.17850927561837454"/>
    <s v="MEDIUM"/>
    <n v="0"/>
  </r>
  <r>
    <n v="10987"/>
    <s v="25-May-2025"/>
    <x v="87"/>
    <x v="0"/>
    <s v="Maharashtra"/>
    <x v="2"/>
    <s v="Living Room"/>
    <s v="Sofa"/>
    <n v="3"/>
    <n v="3234.6"/>
    <n v="341.3"/>
    <x v="1"/>
    <x v="4"/>
    <x v="6"/>
    <n v="2025"/>
    <s v="Q2"/>
    <n v="0.10551536511469733"/>
    <s v="MEDIUM"/>
    <n v="0.1"/>
  </r>
  <r>
    <n v="10988"/>
    <s v="14-Dec-2025"/>
    <x v="57"/>
    <x v="6"/>
    <s v="Maharashtra"/>
    <x v="1"/>
    <s v="Stationery"/>
    <s v="Notebook"/>
    <n v="1"/>
    <n v="3436"/>
    <n v="424.43"/>
    <x v="2"/>
    <x v="2"/>
    <x v="9"/>
    <n v="2025"/>
    <s v="Q4"/>
    <n v="0.12352444703143189"/>
    <s v="MEDIUM"/>
    <n v="0"/>
  </r>
  <r>
    <n v="10989"/>
    <s v="08-Aug-2025"/>
    <x v="110"/>
    <x v="5"/>
    <s v="Karnataka"/>
    <x v="0"/>
    <s v="Computers"/>
    <s v="Laptop"/>
    <n v="6"/>
    <n v="2878.5"/>
    <n v="860.24"/>
    <x v="4"/>
    <x v="2"/>
    <x v="5"/>
    <n v="2025"/>
    <s v="Q3"/>
    <n v="0.29885009553586939"/>
    <s v="MEDIUM"/>
    <n v="0.05"/>
  </r>
  <r>
    <n v="10990"/>
    <s v="27-Jul-2025"/>
    <x v="99"/>
    <x v="0"/>
    <s v="Maharashtra"/>
    <x v="1"/>
    <s v="Stationery"/>
    <s v="Pen"/>
    <n v="2"/>
    <n v="6289.6"/>
    <n v="816.34"/>
    <x v="3"/>
    <x v="0"/>
    <x v="2"/>
    <n v="2025"/>
    <s v="Q3"/>
    <n v="0.12979203764945307"/>
    <s v="HIGH"/>
    <n v="0.2"/>
  </r>
  <r>
    <n v="10991"/>
    <s v="26-Sep-2025"/>
    <x v="48"/>
    <x v="3"/>
    <s v="Gujarat"/>
    <x v="0"/>
    <s v="Computers"/>
    <s v="Laptop"/>
    <n v="5"/>
    <n v="841.5"/>
    <n v="211.13"/>
    <x v="1"/>
    <x v="1"/>
    <x v="3"/>
    <n v="2025"/>
    <s v="Q3"/>
    <n v="0.25089720736779558"/>
    <s v="LOW"/>
    <n v="0.1"/>
  </r>
  <r>
    <n v="10992"/>
    <s v="11-Jan-2025"/>
    <x v="164"/>
    <x v="3"/>
    <s v="Gujarat"/>
    <x v="2"/>
    <s v="Tables"/>
    <s v="Table"/>
    <n v="5"/>
    <n v="3928.5"/>
    <n v="1014.12"/>
    <x v="1"/>
    <x v="0"/>
    <x v="0"/>
    <n v="2025"/>
    <s v="Q1"/>
    <n v="0.25814432989690722"/>
    <s v="MEDIUM"/>
    <n v="0.1"/>
  </r>
  <r>
    <n v="10993"/>
    <s v="20-Aug-2025"/>
    <x v="77"/>
    <x v="1"/>
    <s v="Tamil Nadu"/>
    <x v="2"/>
    <s v="Office"/>
    <s v="Desk"/>
    <n v="7"/>
    <n v="6735.4"/>
    <n v="790.77"/>
    <x v="0"/>
    <x v="1"/>
    <x v="5"/>
    <n v="2025"/>
    <s v="Q3"/>
    <n v="0.11740505389434926"/>
    <s v="HIGH"/>
    <n v="0.15"/>
  </r>
  <r>
    <n v="10994"/>
    <s v="29-Jun-2025"/>
    <x v="12"/>
    <x v="5"/>
    <s v="Karnataka"/>
    <x v="0"/>
    <s v="Computers"/>
    <s v="Laptop"/>
    <n v="6"/>
    <n v="17208"/>
    <n v="4292.96"/>
    <x v="2"/>
    <x v="3"/>
    <x v="11"/>
    <n v="2025"/>
    <s v="Q2"/>
    <n v="0.24947466294746629"/>
    <s v="HIGH"/>
    <n v="0"/>
  </r>
  <r>
    <n v="10995"/>
    <s v="30-Jan-2025"/>
    <x v="21"/>
    <x v="6"/>
    <s v="Maharashtra"/>
    <x v="0"/>
    <s v="Audio"/>
    <s v="Headphones"/>
    <n v="3"/>
    <n v="10767"/>
    <n v="1377.4"/>
    <x v="2"/>
    <x v="4"/>
    <x v="0"/>
    <n v="2025"/>
    <s v="Q1"/>
    <n v="0.12792792792792793"/>
    <s v="HIGH"/>
    <n v="0"/>
  </r>
  <r>
    <n v="10996"/>
    <s v="01-Sep-2025"/>
    <x v="50"/>
    <x v="6"/>
    <s v="Maharashtra"/>
    <x v="1"/>
    <s v="Stationery"/>
    <s v="Pen"/>
    <n v="1"/>
    <n v="4334.8500000000004"/>
    <n v="1137.8"/>
    <x v="4"/>
    <x v="3"/>
    <x v="3"/>
    <n v="2025"/>
    <s v="Q3"/>
    <n v="0.26247736369193858"/>
    <s v="MEDIUM"/>
    <n v="0.05"/>
  </r>
  <r>
    <n v="10997"/>
    <s v="30-Sep-2025"/>
    <x v="107"/>
    <x v="3"/>
    <s v="Gujarat"/>
    <x v="0"/>
    <s v="Computers"/>
    <s v="Laptop"/>
    <n v="6"/>
    <n v="8124.3"/>
    <n v="1804.25"/>
    <x v="0"/>
    <x v="3"/>
    <x v="3"/>
    <n v="2025"/>
    <s v="Q3"/>
    <n v="0.22208067156555025"/>
    <s v="HIGH"/>
    <n v="0.15"/>
  </r>
  <r>
    <n v="10998"/>
    <s v="29-Oct-2025"/>
    <x v="191"/>
    <x v="2"/>
    <s v="West Bengal"/>
    <x v="2"/>
    <s v="Office"/>
    <s v="Desk"/>
    <n v="6"/>
    <n v="13644"/>
    <n v="2897.6"/>
    <x v="2"/>
    <x v="2"/>
    <x v="7"/>
    <n v="2025"/>
    <s v="Q4"/>
    <n v="0.21237173849311053"/>
    <s v="HIGH"/>
    <n v="0"/>
  </r>
  <r>
    <n v="10999"/>
    <s v="04-Jul-2025"/>
    <x v="118"/>
    <x v="4"/>
    <s v="Telangana"/>
    <x v="1"/>
    <s v="Paper"/>
    <s v="Printer Paper"/>
    <n v="4"/>
    <n v="15252"/>
    <n v="3450.38"/>
    <x v="2"/>
    <x v="0"/>
    <x v="2"/>
    <n v="2025"/>
    <s v="Q3"/>
    <n v="0.22622475740886441"/>
    <s v="HIGH"/>
    <n v="0"/>
  </r>
  <r>
    <n v="11000"/>
    <s v="07-Dec-2025"/>
    <x v="191"/>
    <x v="2"/>
    <s v="West Bengal"/>
    <x v="1"/>
    <s v="Paper"/>
    <s v="Printer Paper"/>
    <n v="2"/>
    <n v="1690.2"/>
    <n v="350.42"/>
    <x v="1"/>
    <x v="0"/>
    <x v="9"/>
    <n v="2025"/>
    <s v="Q4"/>
    <n v="0.20732457697313927"/>
    <s v="MEDIUM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E55E0-B75F-46D3-AC56-09A345B8665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6"/>
  </dataFields>
  <formats count="1">
    <format dxfId="1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7CF46-8BED-4AF6-A5BC-F10F332C3752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0"/>
        <item x="1"/>
        <item x="8"/>
        <item x="4"/>
        <item x="6"/>
        <item x="11"/>
        <item x="2"/>
        <item x="5"/>
        <item x="3"/>
        <item x="7"/>
        <item x="10"/>
        <item x="9"/>
        <item t="default"/>
      </items>
    </pivotField>
    <pivotField showAll="0"/>
    <pivotField showAll="0"/>
    <pivotField numFmtId="10" showAll="0"/>
    <pivotField showAll="0"/>
    <pivotField numFmtId="9"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9" baseField="0" baseItem="0" numFmtId="166"/>
  </dataFields>
  <formats count="1">
    <format dxfId="1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3319B-91F9-44C0-BD41-4C794188B8E4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 numFmtId="167"/>
  </dataFields>
  <formats count="1">
    <format dxfId="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0A00A-9EA9-40B7-8F31-BFE8C7B16B8B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9">
    <pivotField showAll="0"/>
    <pivotField showAll="0"/>
    <pivotField showAll="0"/>
    <pivotField axis="axisRow" showAll="0">
      <items count="9">
        <item x="3"/>
        <item x="5"/>
        <item x="1"/>
        <item x="7"/>
        <item x="4"/>
        <item x="2"/>
        <item x="6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numFmtId="9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9" baseField="0" baseItem="0" numFmtId="166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E2397-0CFF-469D-8357-FD33F33A32B4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4" firstHeaderRow="1" firstDataRow="1" firstDataCol="1"/>
  <pivotFields count="19">
    <pivotField showAll="0"/>
    <pivotField showAll="0"/>
    <pivotField axis="axisRow" showAll="0" measureFilter="1" sortType="ascending">
      <items count="200">
        <item x="146"/>
        <item x="6"/>
        <item x="14"/>
        <item x="20"/>
        <item x="129"/>
        <item x="198"/>
        <item x="71"/>
        <item x="88"/>
        <item x="135"/>
        <item x="77"/>
        <item x="50"/>
        <item x="62"/>
        <item x="153"/>
        <item x="116"/>
        <item x="117"/>
        <item x="108"/>
        <item x="141"/>
        <item x="61"/>
        <item x="44"/>
        <item x="59"/>
        <item x="188"/>
        <item x="96"/>
        <item x="30"/>
        <item x="180"/>
        <item x="155"/>
        <item x="18"/>
        <item x="31"/>
        <item x="101"/>
        <item x="160"/>
        <item x="173"/>
        <item x="167"/>
        <item x="74"/>
        <item x="149"/>
        <item x="15"/>
        <item x="68"/>
        <item x="162"/>
        <item x="4"/>
        <item x="19"/>
        <item x="63"/>
        <item x="35"/>
        <item x="25"/>
        <item x="147"/>
        <item x="136"/>
        <item x="89"/>
        <item x="123"/>
        <item x="47"/>
        <item x="134"/>
        <item x="43"/>
        <item x="16"/>
        <item x="113"/>
        <item x="17"/>
        <item x="190"/>
        <item x="27"/>
        <item x="97"/>
        <item x="139"/>
        <item x="64"/>
        <item x="151"/>
        <item x="87"/>
        <item x="118"/>
        <item x="48"/>
        <item x="111"/>
        <item x="22"/>
        <item x="125"/>
        <item x="73"/>
        <item x="133"/>
        <item x="58"/>
        <item x="99"/>
        <item x="156"/>
        <item x="102"/>
        <item x="12"/>
        <item x="168"/>
        <item x="144"/>
        <item x="109"/>
        <item x="142"/>
        <item x="159"/>
        <item x="161"/>
        <item x="55"/>
        <item x="0"/>
        <item x="127"/>
        <item x="119"/>
        <item x="72"/>
        <item x="138"/>
        <item x="177"/>
        <item x="85"/>
        <item x="132"/>
        <item x="91"/>
        <item x="39"/>
        <item x="82"/>
        <item x="52"/>
        <item x="32"/>
        <item x="110"/>
        <item x="137"/>
        <item x="5"/>
        <item x="165"/>
        <item x="13"/>
        <item x="3"/>
        <item x="34"/>
        <item x="69"/>
        <item x="128"/>
        <item x="76"/>
        <item x="100"/>
        <item x="86"/>
        <item x="84"/>
        <item x="83"/>
        <item x="78"/>
        <item x="8"/>
        <item x="121"/>
        <item x="42"/>
        <item x="152"/>
        <item x="169"/>
        <item x="29"/>
        <item x="158"/>
        <item x="94"/>
        <item x="104"/>
        <item x="66"/>
        <item x="184"/>
        <item x="9"/>
        <item x="26"/>
        <item x="171"/>
        <item x="92"/>
        <item x="181"/>
        <item x="36"/>
        <item x="53"/>
        <item x="186"/>
        <item x="1"/>
        <item x="105"/>
        <item x="194"/>
        <item x="164"/>
        <item x="95"/>
        <item x="56"/>
        <item x="67"/>
        <item x="191"/>
        <item x="7"/>
        <item x="131"/>
        <item x="193"/>
        <item x="10"/>
        <item x="106"/>
        <item x="79"/>
        <item x="81"/>
        <item x="196"/>
        <item x="163"/>
        <item x="107"/>
        <item x="93"/>
        <item x="120"/>
        <item x="21"/>
        <item x="172"/>
        <item x="46"/>
        <item x="98"/>
        <item x="49"/>
        <item x="24"/>
        <item x="23"/>
        <item x="41"/>
        <item x="40"/>
        <item x="28"/>
        <item x="183"/>
        <item x="54"/>
        <item x="90"/>
        <item x="122"/>
        <item x="57"/>
        <item x="51"/>
        <item x="60"/>
        <item x="75"/>
        <item x="174"/>
        <item x="140"/>
        <item x="114"/>
        <item x="176"/>
        <item x="189"/>
        <item x="45"/>
        <item x="130"/>
        <item x="124"/>
        <item x="179"/>
        <item x="185"/>
        <item x="192"/>
        <item x="103"/>
        <item x="166"/>
        <item x="80"/>
        <item x="11"/>
        <item x="112"/>
        <item x="143"/>
        <item x="197"/>
        <item x="150"/>
        <item x="33"/>
        <item x="145"/>
        <item x="195"/>
        <item x="148"/>
        <item x="37"/>
        <item x="178"/>
        <item x="115"/>
        <item x="170"/>
        <item x="65"/>
        <item x="182"/>
        <item x="126"/>
        <item x="154"/>
        <item x="175"/>
        <item x="187"/>
        <item x="157"/>
        <item x="70"/>
        <item x="3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numFmtId="9" showAll="0"/>
  </pivotFields>
  <rowFields count="1">
    <field x="2"/>
  </rowFields>
  <rowItems count="11">
    <i>
      <x v="33"/>
    </i>
    <i>
      <x v="136"/>
    </i>
    <i>
      <x v="60"/>
    </i>
    <i>
      <x v="137"/>
    </i>
    <i>
      <x v="61"/>
    </i>
    <i>
      <x v="1"/>
    </i>
    <i>
      <x v="176"/>
    </i>
    <i>
      <x v="127"/>
    </i>
    <i>
      <x v="37"/>
    </i>
    <i>
      <x v="22"/>
    </i>
    <i t="grand">
      <x/>
    </i>
  </rowItems>
  <colItems count="1">
    <i/>
  </colItems>
  <dataFields count="1">
    <dataField name="Sum of Sales" fld="9" baseField="0" baseItem="0" numFmtId="166"/>
  </dataFields>
  <formats count="1">
    <format dxfId="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0EA33-D419-4F6C-8A69-45F9BCAFA7CB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numFmtId="10" showAll="0"/>
    <pivotField showAll="0"/>
    <pivotField numFmtId="9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57ADF-80D7-4A0E-B00D-95BC690DF749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numFmtId="10" showAll="0"/>
    <pivotField showAll="0"/>
    <pivotField numFmtId="9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CBD31-54C1-4CA5-8CBF-759E3178A00C}" name="Table1" displayName="Table1" ref="A1:S1001" totalsRowShown="0">
  <autoFilter ref="A1:S1001" xr:uid="{00000000-0001-0000-0000-000000000000}"/>
  <tableColumns count="19">
    <tableColumn id="1" xr3:uid="{2EAEDF92-57DB-4655-A9F1-D7638EBD3CD9}" name="Order ID"/>
    <tableColumn id="2" xr3:uid="{EBA5AD8C-0C29-4DE0-B621-907D3F3B8B5A}" name="Order Date" dataDxfId="18"/>
    <tableColumn id="3" xr3:uid="{05CC2AA4-19E8-483C-BCB0-6D0EAF57BBDC}" name="Customer Name"/>
    <tableColumn id="4" xr3:uid="{6A182BDD-B2BA-4852-B842-4FA16BD8F21C}" name="City"/>
    <tableColumn id="5" xr3:uid="{92CE77C3-4B89-45EE-A073-EECA33CE3F0A}" name="State"/>
    <tableColumn id="6" xr3:uid="{8CACBD11-81C5-4827-90FC-890C81C9422D}" name="Category"/>
    <tableColumn id="7" xr3:uid="{4E4942F4-B42D-4FB0-8E1A-AC3481F3E0EA}" name="Sub Category"/>
    <tableColumn id="8" xr3:uid="{86C0CE53-A810-4BEC-90DA-94EA63E0BD2E}" name="Product Name"/>
    <tableColumn id="9" xr3:uid="{3FF15471-00C5-404C-9E67-D70CA6624600}" name="Quantity"/>
    <tableColumn id="10" xr3:uid="{E73FB4C9-0938-44CD-A7C4-6D9FD09485E2}" name="Sales"/>
    <tableColumn id="11" xr3:uid="{CF9CDC96-4BC4-4287-87F9-2B96B1B4B048}" name="Profit"/>
    <tableColumn id="12" xr3:uid="{8DFE52C2-0DF9-4195-8FF1-0AE5896FFF73}" name="Discount"/>
    <tableColumn id="13" xr3:uid="{73474CC2-CE0D-4DEC-9497-20ADB54782B6}" name="Payment Mode"/>
    <tableColumn id="14" xr3:uid="{1BAE56DC-A56B-49FD-A041-6D7947B868B9}" name="Month" dataDxfId="17">
      <calculatedColumnFormula>TEXT(Table1[[#This Row],[Order Date]],"MMMM")</calculatedColumnFormula>
    </tableColumn>
    <tableColumn id="15" xr3:uid="{A4BB0D14-ED6F-41FF-8330-C56F497BCE02}" name="Year" dataDxfId="16">
      <calculatedColumnFormula>YEAR(Table1[[#This Row],[Order Date]])</calculatedColumnFormula>
    </tableColumn>
    <tableColumn id="16" xr3:uid="{8BD01783-EBF9-4D97-98C4-D194B5F5D674}" name="Quarter" dataDxfId="15">
      <calculatedColumnFormula>"Q"&amp;ROUNDUP(MONTH(Table1[[#This Row],[Order Date]])/3,0)</calculatedColumnFormula>
    </tableColumn>
    <tableColumn id="17" xr3:uid="{2786D11A-D938-433B-861F-7A462CF114DF}" name="Profit %" dataDxfId="14">
      <calculatedColumnFormula>Table1[[#This Row],[Profit]]/Table1[[#This Row],[Sales]]</calculatedColumnFormula>
    </tableColumn>
    <tableColumn id="18" xr3:uid="{75795301-2C65-4870-BF68-F5D76912EFA3}" name="Sales Category" dataDxfId="13">
      <calculatedColumnFormula>IF(Table1[[#This Row],[Sales]]&lt;1000,"LOW",IF(Table1[[#This Row],[Sales]]&lt;5000,"MEDIUM","HIGH"))</calculatedColumnFormula>
    </tableColumn>
    <tableColumn id="19" xr3:uid="{B6FF769C-1105-4194-8774-A5B55CE683ED}" name="Discount%" dataCellStyle="Percent">
      <calculatedColumnFormula>Table1[[#This Row],[Discount]]/100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A2" workbookViewId="0">
      <selection sqref="A1:S1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4" max="4" width="10.6640625" bestFit="1" customWidth="1"/>
    <col min="5" max="5" width="11.44140625" bestFit="1" customWidth="1"/>
    <col min="6" max="6" width="13.109375" bestFit="1" customWidth="1"/>
    <col min="7" max="7" width="14.109375" customWidth="1"/>
    <col min="8" max="8" width="15" customWidth="1"/>
    <col min="9" max="9" width="10.21875" customWidth="1"/>
    <col min="12" max="12" width="10.21875" customWidth="1"/>
    <col min="13" max="13" width="15.88671875" customWidth="1"/>
    <col min="14" max="14" width="9.77734375" bestFit="1" customWidth="1"/>
    <col min="16" max="16" width="9.6640625" bestFit="1" customWidth="1"/>
    <col min="18" max="18" width="15.5546875" bestFit="1" customWidth="1"/>
  </cols>
  <sheetData>
    <row r="1" spans="1:1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586</v>
      </c>
      <c r="O1" t="s">
        <v>587</v>
      </c>
      <c r="P1" t="s">
        <v>588</v>
      </c>
      <c r="Q1" t="s">
        <v>589</v>
      </c>
      <c r="R1" t="s">
        <v>590</v>
      </c>
      <c r="S1" t="s">
        <v>591</v>
      </c>
    </row>
    <row r="2" spans="1:19" x14ac:dyDescent="0.3">
      <c r="A2">
        <v>10001</v>
      </c>
      <c r="B2" s="1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4</v>
      </c>
      <c r="J2">
        <v>11944.2</v>
      </c>
      <c r="K2">
        <v>1309.28</v>
      </c>
      <c r="L2">
        <v>15</v>
      </c>
      <c r="M2" t="s">
        <v>20</v>
      </c>
      <c r="N2" t="str">
        <f>TEXT(Table1[[#This Row],[Order Date]],"MMMM")</f>
        <v>January</v>
      </c>
      <c r="O2">
        <f>YEAR(Table1[[#This Row],[Order Date]])</f>
        <v>2025</v>
      </c>
      <c r="P2" t="str">
        <f>"Q"&amp;ROUNDUP(MONTH(Table1[[#This Row],[Order Date]])/3,0)</f>
        <v>Q1</v>
      </c>
      <c r="Q2" s="3">
        <f>Table1[[#This Row],[Profit]]/Table1[[#This Row],[Sales]]</f>
        <v>0.10961638284690477</v>
      </c>
      <c r="R2" t="str">
        <f>IF(Table1[[#This Row],[Sales]]&lt;1000,"LOW",IF(Table1[[#This Row],[Sales]]&lt;5000,"MEDIUM","HIGH"))</f>
        <v>HIGH</v>
      </c>
      <c r="S2" s="2">
        <f>Table1[[#This Row],[Discount]]/100</f>
        <v>0.15</v>
      </c>
    </row>
    <row r="3" spans="1:19" x14ac:dyDescent="0.3">
      <c r="A3">
        <v>10002</v>
      </c>
      <c r="B3" s="1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8</v>
      </c>
      <c r="J3">
        <v>5961.6</v>
      </c>
      <c r="K3">
        <v>619.58000000000004</v>
      </c>
      <c r="L3">
        <v>10</v>
      </c>
      <c r="M3" t="s">
        <v>28</v>
      </c>
      <c r="N3" t="str">
        <f>TEXT(Table1[[#This Row],[Order Date]],"MMMM")</f>
        <v>February</v>
      </c>
      <c r="O3">
        <f>YEAR(Table1[[#This Row],[Order Date]])</f>
        <v>2025</v>
      </c>
      <c r="P3" t="str">
        <f>"Q"&amp;ROUNDUP(MONTH(Table1[[#This Row],[Order Date]])/3,0)</f>
        <v>Q1</v>
      </c>
      <c r="Q3" s="3">
        <f>Table1[[#This Row],[Profit]]/Table1[[#This Row],[Sales]]</f>
        <v>0.10392847557702631</v>
      </c>
      <c r="R3" t="str">
        <f>IF(Table1[[#This Row],[Sales]]&lt;1000,"LOW",IF(Table1[[#This Row],[Sales]]&lt;5000,"MEDIUM","HIGH"))</f>
        <v>HIGH</v>
      </c>
      <c r="S3" s="2">
        <f>Table1[[#This Row],[Discount]]/100</f>
        <v>0.1</v>
      </c>
    </row>
    <row r="4" spans="1:19" x14ac:dyDescent="0.3">
      <c r="A4">
        <v>10003</v>
      </c>
      <c r="B4" s="1" t="s">
        <v>29</v>
      </c>
      <c r="C4" t="s">
        <v>30</v>
      </c>
      <c r="D4" t="s">
        <v>23</v>
      </c>
      <c r="E4" t="s">
        <v>24</v>
      </c>
      <c r="F4" t="s">
        <v>31</v>
      </c>
      <c r="G4" t="s">
        <v>32</v>
      </c>
      <c r="H4" t="s">
        <v>33</v>
      </c>
      <c r="I4">
        <v>6</v>
      </c>
      <c r="J4">
        <v>6348</v>
      </c>
      <c r="K4">
        <v>1585.44</v>
      </c>
      <c r="L4">
        <v>0</v>
      </c>
      <c r="M4" t="s">
        <v>28</v>
      </c>
      <c r="N4" t="str">
        <f>TEXT(Table1[[#This Row],[Order Date]],"MMMM")</f>
        <v>July</v>
      </c>
      <c r="O4">
        <f>YEAR(Table1[[#This Row],[Order Date]])</f>
        <v>2025</v>
      </c>
      <c r="P4" t="str">
        <f>"Q"&amp;ROUNDUP(MONTH(Table1[[#This Row],[Order Date]])/3,0)</f>
        <v>Q3</v>
      </c>
      <c r="Q4" s="3">
        <f>Table1[[#This Row],[Profit]]/Table1[[#This Row],[Sales]]</f>
        <v>0.24975425330812856</v>
      </c>
      <c r="R4" t="str">
        <f>IF(Table1[[#This Row],[Sales]]&lt;1000,"LOW",IF(Table1[[#This Row],[Sales]]&lt;5000,"MEDIUM","HIGH"))</f>
        <v>HIGH</v>
      </c>
      <c r="S4" s="2">
        <f>Table1[[#This Row],[Discount]]/100</f>
        <v>0</v>
      </c>
    </row>
    <row r="5" spans="1:19" x14ac:dyDescent="0.3">
      <c r="A5">
        <v>10004</v>
      </c>
      <c r="B5" s="1" t="s">
        <v>34</v>
      </c>
      <c r="C5" t="s">
        <v>35</v>
      </c>
      <c r="D5" t="s">
        <v>36</v>
      </c>
      <c r="E5" t="s">
        <v>37</v>
      </c>
      <c r="F5" t="s">
        <v>31</v>
      </c>
      <c r="G5" t="s">
        <v>38</v>
      </c>
      <c r="H5" t="s">
        <v>39</v>
      </c>
      <c r="I5">
        <v>6</v>
      </c>
      <c r="J5">
        <v>21235.200000000001</v>
      </c>
      <c r="K5">
        <v>3308.25</v>
      </c>
      <c r="L5">
        <v>20</v>
      </c>
      <c r="M5" t="s">
        <v>40</v>
      </c>
      <c r="N5" t="str">
        <f>TEXT(Table1[[#This Row],[Order Date]],"MMMM")</f>
        <v>September</v>
      </c>
      <c r="O5">
        <f>YEAR(Table1[[#This Row],[Order Date]])</f>
        <v>2025</v>
      </c>
      <c r="P5" t="str">
        <f>"Q"&amp;ROUNDUP(MONTH(Table1[[#This Row],[Order Date]])/3,0)</f>
        <v>Q3</v>
      </c>
      <c r="Q5" s="3">
        <f>Table1[[#This Row],[Profit]]/Table1[[#This Row],[Sales]]</f>
        <v>0.15579085669077758</v>
      </c>
      <c r="R5" t="str">
        <f>IF(Table1[[#This Row],[Sales]]&lt;1000,"LOW",IF(Table1[[#This Row],[Sales]]&lt;5000,"MEDIUM","HIGH"))</f>
        <v>HIGH</v>
      </c>
      <c r="S5" s="2">
        <f>Table1[[#This Row],[Discount]]/100</f>
        <v>0.2</v>
      </c>
    </row>
    <row r="6" spans="1:19" x14ac:dyDescent="0.3">
      <c r="A6">
        <v>10005</v>
      </c>
      <c r="B6" s="1" t="s">
        <v>41</v>
      </c>
      <c r="C6" t="s">
        <v>42</v>
      </c>
      <c r="D6" t="s">
        <v>23</v>
      </c>
      <c r="E6" t="s">
        <v>24</v>
      </c>
      <c r="F6" t="s">
        <v>17</v>
      </c>
      <c r="G6" t="s">
        <v>43</v>
      </c>
      <c r="H6" t="s">
        <v>44</v>
      </c>
      <c r="I6">
        <v>1</v>
      </c>
      <c r="J6">
        <v>2578.4</v>
      </c>
      <c r="K6">
        <v>599.37</v>
      </c>
      <c r="L6">
        <v>20</v>
      </c>
      <c r="M6" t="s">
        <v>45</v>
      </c>
      <c r="N6" t="str">
        <f>TEXT(Table1[[#This Row],[Order Date]],"MMMM")</f>
        <v>April</v>
      </c>
      <c r="O6">
        <f>YEAR(Table1[[#This Row],[Order Date]])</f>
        <v>2025</v>
      </c>
      <c r="P6" t="str">
        <f>"Q"&amp;ROUNDUP(MONTH(Table1[[#This Row],[Order Date]])/3,0)</f>
        <v>Q2</v>
      </c>
      <c r="Q6" s="3">
        <f>Table1[[#This Row],[Profit]]/Table1[[#This Row],[Sales]]</f>
        <v>0.23245811355879614</v>
      </c>
      <c r="R6" t="str">
        <f>IF(Table1[[#This Row],[Sales]]&lt;1000,"LOW",IF(Table1[[#This Row],[Sales]]&lt;5000,"MEDIUM","HIGH"))</f>
        <v>MEDIUM</v>
      </c>
      <c r="S6" s="2">
        <f>Table1[[#This Row],[Discount]]/100</f>
        <v>0.2</v>
      </c>
    </row>
    <row r="7" spans="1:19" x14ac:dyDescent="0.3">
      <c r="A7">
        <v>10006</v>
      </c>
      <c r="B7" s="1" t="s">
        <v>46</v>
      </c>
      <c r="C7" t="s">
        <v>47</v>
      </c>
      <c r="D7" t="s">
        <v>15</v>
      </c>
      <c r="E7" t="s">
        <v>16</v>
      </c>
      <c r="F7" t="s">
        <v>25</v>
      </c>
      <c r="G7" t="s">
        <v>26</v>
      </c>
      <c r="H7" t="s">
        <v>48</v>
      </c>
      <c r="I7">
        <v>6</v>
      </c>
      <c r="J7">
        <v>21654.6</v>
      </c>
      <c r="K7">
        <v>2197.33</v>
      </c>
      <c r="L7">
        <v>15</v>
      </c>
      <c r="M7" t="s">
        <v>49</v>
      </c>
      <c r="N7" t="str">
        <f>TEXT(Table1[[#This Row],[Order Date]],"MMMM")</f>
        <v>August</v>
      </c>
      <c r="O7">
        <f>YEAR(Table1[[#This Row],[Order Date]])</f>
        <v>2025</v>
      </c>
      <c r="P7" t="str">
        <f>"Q"&amp;ROUNDUP(MONTH(Table1[[#This Row],[Order Date]])/3,0)</f>
        <v>Q3</v>
      </c>
      <c r="Q7" s="3">
        <f>Table1[[#This Row],[Profit]]/Table1[[#This Row],[Sales]]</f>
        <v>0.10147174272440959</v>
      </c>
      <c r="R7" t="str">
        <f>IF(Table1[[#This Row],[Sales]]&lt;1000,"LOW",IF(Table1[[#This Row],[Sales]]&lt;5000,"MEDIUM","HIGH"))</f>
        <v>HIGH</v>
      </c>
      <c r="S7" s="2">
        <f>Table1[[#This Row],[Discount]]/100</f>
        <v>0.15</v>
      </c>
    </row>
    <row r="8" spans="1:19" x14ac:dyDescent="0.3">
      <c r="A8">
        <v>10007</v>
      </c>
      <c r="B8" s="1" t="s">
        <v>50</v>
      </c>
      <c r="C8" t="s">
        <v>51</v>
      </c>
      <c r="D8" t="s">
        <v>52</v>
      </c>
      <c r="E8" t="s">
        <v>53</v>
      </c>
      <c r="F8" t="s">
        <v>17</v>
      </c>
      <c r="G8" t="s">
        <v>43</v>
      </c>
      <c r="H8" t="s">
        <v>44</v>
      </c>
      <c r="I8">
        <v>6</v>
      </c>
      <c r="J8">
        <v>24936</v>
      </c>
      <c r="K8">
        <v>4548.78</v>
      </c>
      <c r="L8">
        <v>0</v>
      </c>
      <c r="M8" t="s">
        <v>40</v>
      </c>
      <c r="N8" t="str">
        <f>TEXT(Table1[[#This Row],[Order Date]],"MMMM")</f>
        <v>February</v>
      </c>
      <c r="O8">
        <f>YEAR(Table1[[#This Row],[Order Date]])</f>
        <v>2025</v>
      </c>
      <c r="P8" t="str">
        <f>"Q"&amp;ROUNDUP(MONTH(Table1[[#This Row],[Order Date]])/3,0)</f>
        <v>Q1</v>
      </c>
      <c r="Q8" s="3">
        <f>Table1[[#This Row],[Profit]]/Table1[[#This Row],[Sales]]</f>
        <v>0.18241819056785369</v>
      </c>
      <c r="R8" t="str">
        <f>IF(Table1[[#This Row],[Sales]]&lt;1000,"LOW",IF(Table1[[#This Row],[Sales]]&lt;5000,"MEDIUM","HIGH"))</f>
        <v>HIGH</v>
      </c>
      <c r="S8" s="2">
        <f>Table1[[#This Row],[Discount]]/100</f>
        <v>0</v>
      </c>
    </row>
    <row r="9" spans="1:19" x14ac:dyDescent="0.3">
      <c r="A9">
        <v>10008</v>
      </c>
      <c r="B9" s="1" t="s">
        <v>54</v>
      </c>
      <c r="C9" t="s">
        <v>55</v>
      </c>
      <c r="D9" t="s">
        <v>56</v>
      </c>
      <c r="E9" t="s">
        <v>57</v>
      </c>
      <c r="F9" t="s">
        <v>17</v>
      </c>
      <c r="G9" t="s">
        <v>18</v>
      </c>
      <c r="H9" t="s">
        <v>19</v>
      </c>
      <c r="I9">
        <v>1</v>
      </c>
      <c r="J9">
        <v>413.25</v>
      </c>
      <c r="K9">
        <v>114.27</v>
      </c>
      <c r="L9">
        <v>5</v>
      </c>
      <c r="M9" t="s">
        <v>28</v>
      </c>
      <c r="N9" t="str">
        <f>TEXT(Table1[[#This Row],[Order Date]],"MMMM")</f>
        <v>February</v>
      </c>
      <c r="O9">
        <f>YEAR(Table1[[#This Row],[Order Date]])</f>
        <v>2025</v>
      </c>
      <c r="P9" t="str">
        <f>"Q"&amp;ROUNDUP(MONTH(Table1[[#This Row],[Order Date]])/3,0)</f>
        <v>Q1</v>
      </c>
      <c r="Q9" s="3">
        <f>Table1[[#This Row],[Profit]]/Table1[[#This Row],[Sales]]</f>
        <v>0.27651542649727767</v>
      </c>
      <c r="R9" t="str">
        <f>IF(Table1[[#This Row],[Sales]]&lt;1000,"LOW",IF(Table1[[#This Row],[Sales]]&lt;5000,"MEDIUM","HIGH"))</f>
        <v>LOW</v>
      </c>
      <c r="S9" s="2">
        <f>Table1[[#This Row],[Discount]]/100</f>
        <v>0.05</v>
      </c>
    </row>
    <row r="10" spans="1:19" x14ac:dyDescent="0.3">
      <c r="A10">
        <v>10009</v>
      </c>
      <c r="B10" s="1" t="s">
        <v>58</v>
      </c>
      <c r="C10" t="s">
        <v>59</v>
      </c>
      <c r="D10" t="s">
        <v>60</v>
      </c>
      <c r="E10" t="s">
        <v>61</v>
      </c>
      <c r="F10" t="s">
        <v>31</v>
      </c>
      <c r="G10" t="s">
        <v>32</v>
      </c>
      <c r="H10" t="s">
        <v>33</v>
      </c>
      <c r="I10">
        <v>3</v>
      </c>
      <c r="J10">
        <v>13919.4</v>
      </c>
      <c r="K10">
        <v>3540.96</v>
      </c>
      <c r="L10">
        <v>5</v>
      </c>
      <c r="M10" t="s">
        <v>28</v>
      </c>
      <c r="N10" t="str">
        <f>TEXT(Table1[[#This Row],[Order Date]],"MMMM")</f>
        <v>February</v>
      </c>
      <c r="O10">
        <f>YEAR(Table1[[#This Row],[Order Date]])</f>
        <v>2025</v>
      </c>
      <c r="P10" t="str">
        <f>"Q"&amp;ROUNDUP(MONTH(Table1[[#This Row],[Order Date]])/3,0)</f>
        <v>Q1</v>
      </c>
      <c r="Q10" s="3">
        <f>Table1[[#This Row],[Profit]]/Table1[[#This Row],[Sales]]</f>
        <v>0.25439027544290704</v>
      </c>
      <c r="R10" t="str">
        <f>IF(Table1[[#This Row],[Sales]]&lt;1000,"LOW",IF(Table1[[#This Row],[Sales]]&lt;5000,"MEDIUM","HIGH"))</f>
        <v>HIGH</v>
      </c>
      <c r="S10" s="2">
        <f>Table1[[#This Row],[Discount]]/100</f>
        <v>0.05</v>
      </c>
    </row>
    <row r="11" spans="1:19" x14ac:dyDescent="0.3">
      <c r="A11">
        <v>10010</v>
      </c>
      <c r="B11" s="1" t="s">
        <v>62</v>
      </c>
      <c r="C11" t="s">
        <v>63</v>
      </c>
      <c r="D11" t="s">
        <v>15</v>
      </c>
      <c r="E11" t="s">
        <v>16</v>
      </c>
      <c r="F11" t="s">
        <v>25</v>
      </c>
      <c r="G11" t="s">
        <v>26</v>
      </c>
      <c r="H11" t="s">
        <v>27</v>
      </c>
      <c r="I11">
        <v>3</v>
      </c>
      <c r="J11">
        <v>5651.55</v>
      </c>
      <c r="K11">
        <v>557.25</v>
      </c>
      <c r="L11">
        <v>5</v>
      </c>
      <c r="M11" t="s">
        <v>45</v>
      </c>
      <c r="N11" t="str">
        <f>TEXT(Table1[[#This Row],[Order Date]],"MMMM")</f>
        <v>May</v>
      </c>
      <c r="O11">
        <f>YEAR(Table1[[#This Row],[Order Date]])</f>
        <v>2025</v>
      </c>
      <c r="P11" t="str">
        <f>"Q"&amp;ROUNDUP(MONTH(Table1[[#This Row],[Order Date]])/3,0)</f>
        <v>Q2</v>
      </c>
      <c r="Q11" s="3">
        <f>Table1[[#This Row],[Profit]]/Table1[[#This Row],[Sales]]</f>
        <v>9.860126867850412E-2</v>
      </c>
      <c r="R11" t="str">
        <f>IF(Table1[[#This Row],[Sales]]&lt;1000,"LOW",IF(Table1[[#This Row],[Sales]]&lt;5000,"MEDIUM","HIGH"))</f>
        <v>HIGH</v>
      </c>
      <c r="S11" s="2">
        <f>Table1[[#This Row],[Discount]]/100</f>
        <v>0.05</v>
      </c>
    </row>
    <row r="12" spans="1:19" x14ac:dyDescent="0.3">
      <c r="A12">
        <v>10011</v>
      </c>
      <c r="B12" s="1" t="s">
        <v>64</v>
      </c>
      <c r="C12" t="s">
        <v>65</v>
      </c>
      <c r="D12" t="s">
        <v>66</v>
      </c>
      <c r="E12" t="s">
        <v>16</v>
      </c>
      <c r="F12" t="s">
        <v>25</v>
      </c>
      <c r="G12" t="s">
        <v>26</v>
      </c>
      <c r="H12" t="s">
        <v>27</v>
      </c>
      <c r="I12">
        <v>6</v>
      </c>
      <c r="J12">
        <v>21797.4</v>
      </c>
      <c r="K12">
        <v>5077.01</v>
      </c>
      <c r="L12">
        <v>15</v>
      </c>
      <c r="M12" t="s">
        <v>20</v>
      </c>
      <c r="N12" t="str">
        <f>TEXT(Table1[[#This Row],[Order Date]],"MMMM")</f>
        <v>May</v>
      </c>
      <c r="O12">
        <f>YEAR(Table1[[#This Row],[Order Date]])</f>
        <v>2025</v>
      </c>
      <c r="P12" t="str">
        <f>"Q"&amp;ROUNDUP(MONTH(Table1[[#This Row],[Order Date]])/3,0)</f>
        <v>Q2</v>
      </c>
      <c r="Q12" s="3">
        <f>Table1[[#This Row],[Profit]]/Table1[[#This Row],[Sales]]</f>
        <v>0.23291814620092305</v>
      </c>
      <c r="R12" t="str">
        <f>IF(Table1[[#This Row],[Sales]]&lt;1000,"LOW",IF(Table1[[#This Row],[Sales]]&lt;5000,"MEDIUM","HIGH"))</f>
        <v>HIGH</v>
      </c>
      <c r="S12" s="2">
        <f>Table1[[#This Row],[Discount]]/100</f>
        <v>0.15</v>
      </c>
    </row>
    <row r="13" spans="1:19" x14ac:dyDescent="0.3">
      <c r="A13">
        <v>10012</v>
      </c>
      <c r="B13" s="1" t="s">
        <v>67</v>
      </c>
      <c r="C13" t="s">
        <v>68</v>
      </c>
      <c r="D13" t="s">
        <v>66</v>
      </c>
      <c r="E13" t="s">
        <v>16</v>
      </c>
      <c r="F13" t="s">
        <v>25</v>
      </c>
      <c r="G13" t="s">
        <v>26</v>
      </c>
      <c r="H13" t="s">
        <v>27</v>
      </c>
      <c r="I13">
        <v>6</v>
      </c>
      <c r="J13">
        <v>12124.8</v>
      </c>
      <c r="K13">
        <v>2361.88</v>
      </c>
      <c r="L13">
        <v>20</v>
      </c>
      <c r="M13" t="s">
        <v>45</v>
      </c>
      <c r="N13" t="str">
        <f>TEXT(Table1[[#This Row],[Order Date]],"MMMM")</f>
        <v>October</v>
      </c>
      <c r="O13">
        <f>YEAR(Table1[[#This Row],[Order Date]])</f>
        <v>2025</v>
      </c>
      <c r="P13" t="str">
        <f>"Q"&amp;ROUNDUP(MONTH(Table1[[#This Row],[Order Date]])/3,0)</f>
        <v>Q4</v>
      </c>
      <c r="Q13" s="3">
        <f>Table1[[#This Row],[Profit]]/Table1[[#This Row],[Sales]]</f>
        <v>0.19479743995777252</v>
      </c>
      <c r="R13" t="str">
        <f>IF(Table1[[#This Row],[Sales]]&lt;1000,"LOW",IF(Table1[[#This Row],[Sales]]&lt;5000,"MEDIUM","HIGH"))</f>
        <v>HIGH</v>
      </c>
      <c r="S13" s="2">
        <f>Table1[[#This Row],[Discount]]/100</f>
        <v>0.2</v>
      </c>
    </row>
    <row r="14" spans="1:19" x14ac:dyDescent="0.3">
      <c r="A14">
        <v>10013</v>
      </c>
      <c r="B14" s="1" t="s">
        <v>69</v>
      </c>
      <c r="C14" t="s">
        <v>70</v>
      </c>
      <c r="D14" t="s">
        <v>52</v>
      </c>
      <c r="E14" t="s">
        <v>53</v>
      </c>
      <c r="F14" t="s">
        <v>25</v>
      </c>
      <c r="G14" t="s">
        <v>26</v>
      </c>
      <c r="H14" t="s">
        <v>71</v>
      </c>
      <c r="I14">
        <v>6</v>
      </c>
      <c r="J14">
        <v>22518</v>
      </c>
      <c r="K14">
        <v>1852.01</v>
      </c>
      <c r="L14">
        <v>10</v>
      </c>
      <c r="M14" t="s">
        <v>20</v>
      </c>
      <c r="N14" t="str">
        <f>TEXT(Table1[[#This Row],[Order Date]],"MMMM")</f>
        <v>January</v>
      </c>
      <c r="O14">
        <f>YEAR(Table1[[#This Row],[Order Date]])</f>
        <v>2025</v>
      </c>
      <c r="P14" t="str">
        <f>"Q"&amp;ROUNDUP(MONTH(Table1[[#This Row],[Order Date]])/3,0)</f>
        <v>Q1</v>
      </c>
      <c r="Q14" s="3">
        <f>Table1[[#This Row],[Profit]]/Table1[[#This Row],[Sales]]</f>
        <v>8.2245758948396835E-2</v>
      </c>
      <c r="R14" t="str">
        <f>IF(Table1[[#This Row],[Sales]]&lt;1000,"LOW",IF(Table1[[#This Row],[Sales]]&lt;5000,"MEDIUM","HIGH"))</f>
        <v>HIGH</v>
      </c>
      <c r="S14" s="2">
        <f>Table1[[#This Row],[Discount]]/100</f>
        <v>0.1</v>
      </c>
    </row>
    <row r="15" spans="1:19" x14ac:dyDescent="0.3">
      <c r="A15">
        <v>10014</v>
      </c>
      <c r="B15" s="1" t="s">
        <v>72</v>
      </c>
      <c r="C15" t="s">
        <v>73</v>
      </c>
      <c r="D15" t="s">
        <v>74</v>
      </c>
      <c r="E15" t="s">
        <v>74</v>
      </c>
      <c r="F15" t="s">
        <v>17</v>
      </c>
      <c r="G15" t="s">
        <v>75</v>
      </c>
      <c r="H15" t="s">
        <v>76</v>
      </c>
      <c r="I15">
        <v>5</v>
      </c>
      <c r="J15">
        <v>4876</v>
      </c>
      <c r="K15">
        <v>1108.98</v>
      </c>
      <c r="L15">
        <v>20</v>
      </c>
      <c r="M15" t="s">
        <v>20</v>
      </c>
      <c r="N15" t="str">
        <f>TEXT(Table1[[#This Row],[Order Date]],"MMMM")</f>
        <v>March</v>
      </c>
      <c r="O15">
        <f>YEAR(Table1[[#This Row],[Order Date]])</f>
        <v>2025</v>
      </c>
      <c r="P15" t="str">
        <f>"Q"&amp;ROUNDUP(MONTH(Table1[[#This Row],[Order Date]])/3,0)</f>
        <v>Q1</v>
      </c>
      <c r="Q15" s="3">
        <f>Table1[[#This Row],[Profit]]/Table1[[#This Row],[Sales]]</f>
        <v>0.22743642329778507</v>
      </c>
      <c r="R15" t="str">
        <f>IF(Table1[[#This Row],[Sales]]&lt;1000,"LOW",IF(Table1[[#This Row],[Sales]]&lt;5000,"MEDIUM","HIGH"))</f>
        <v>MEDIUM</v>
      </c>
      <c r="S15" s="2">
        <f>Table1[[#This Row],[Discount]]/100</f>
        <v>0.2</v>
      </c>
    </row>
    <row r="16" spans="1:19" x14ac:dyDescent="0.3">
      <c r="A16">
        <v>10015</v>
      </c>
      <c r="B16" s="1" t="s">
        <v>77</v>
      </c>
      <c r="C16" t="s">
        <v>78</v>
      </c>
      <c r="D16" t="s">
        <v>52</v>
      </c>
      <c r="E16" t="s">
        <v>53</v>
      </c>
      <c r="F16" t="s">
        <v>17</v>
      </c>
      <c r="G16" t="s">
        <v>18</v>
      </c>
      <c r="H16" t="s">
        <v>19</v>
      </c>
      <c r="I16">
        <v>3</v>
      </c>
      <c r="J16">
        <v>4240.8</v>
      </c>
      <c r="K16">
        <v>1010.18</v>
      </c>
      <c r="L16">
        <v>20</v>
      </c>
      <c r="M16" t="s">
        <v>49</v>
      </c>
      <c r="N16" t="str">
        <f>TEXT(Table1[[#This Row],[Order Date]],"MMMM")</f>
        <v>March</v>
      </c>
      <c r="O16">
        <f>YEAR(Table1[[#This Row],[Order Date]])</f>
        <v>2025</v>
      </c>
      <c r="P16" t="str">
        <f>"Q"&amp;ROUNDUP(MONTH(Table1[[#This Row],[Order Date]])/3,0)</f>
        <v>Q1</v>
      </c>
      <c r="Q16" s="3">
        <f>Table1[[#This Row],[Profit]]/Table1[[#This Row],[Sales]]</f>
        <v>0.23820505564987737</v>
      </c>
      <c r="R16" t="str">
        <f>IF(Table1[[#This Row],[Sales]]&lt;1000,"LOW",IF(Table1[[#This Row],[Sales]]&lt;5000,"MEDIUM","HIGH"))</f>
        <v>MEDIUM</v>
      </c>
      <c r="S16" s="2">
        <f>Table1[[#This Row],[Discount]]/100</f>
        <v>0.2</v>
      </c>
    </row>
    <row r="17" spans="1:19" x14ac:dyDescent="0.3">
      <c r="A17">
        <v>10016</v>
      </c>
      <c r="B17" s="1" t="s">
        <v>79</v>
      </c>
      <c r="C17" t="s">
        <v>80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8</v>
      </c>
      <c r="J17">
        <v>25768.799999999999</v>
      </c>
      <c r="K17">
        <v>4043.21</v>
      </c>
      <c r="L17">
        <v>10</v>
      </c>
      <c r="M17" t="s">
        <v>49</v>
      </c>
      <c r="N17" t="str">
        <f>TEXT(Table1[[#This Row],[Order Date]],"MMMM")</f>
        <v>May</v>
      </c>
      <c r="O17">
        <f>YEAR(Table1[[#This Row],[Order Date]])</f>
        <v>2025</v>
      </c>
      <c r="P17" t="str">
        <f>"Q"&amp;ROUNDUP(MONTH(Table1[[#This Row],[Order Date]])/3,0)</f>
        <v>Q2</v>
      </c>
      <c r="Q17" s="3">
        <f>Table1[[#This Row],[Profit]]/Table1[[#This Row],[Sales]]</f>
        <v>0.15690330942845612</v>
      </c>
      <c r="R17" t="str">
        <f>IF(Table1[[#This Row],[Sales]]&lt;1000,"LOW",IF(Table1[[#This Row],[Sales]]&lt;5000,"MEDIUM","HIGH"))</f>
        <v>HIGH</v>
      </c>
      <c r="S17" s="2">
        <f>Table1[[#This Row],[Discount]]/100</f>
        <v>0.1</v>
      </c>
    </row>
    <row r="18" spans="1:19" x14ac:dyDescent="0.3">
      <c r="A18">
        <v>10017</v>
      </c>
      <c r="B18" s="1" t="s">
        <v>81</v>
      </c>
      <c r="C18" t="s">
        <v>82</v>
      </c>
      <c r="D18" t="s">
        <v>52</v>
      </c>
      <c r="E18" t="s">
        <v>53</v>
      </c>
      <c r="F18" t="s">
        <v>25</v>
      </c>
      <c r="G18" t="s">
        <v>26</v>
      </c>
      <c r="H18" t="s">
        <v>48</v>
      </c>
      <c r="I18">
        <v>5</v>
      </c>
      <c r="J18">
        <v>9837</v>
      </c>
      <c r="K18">
        <v>2785.19</v>
      </c>
      <c r="L18">
        <v>10</v>
      </c>
      <c r="M18" t="s">
        <v>45</v>
      </c>
      <c r="N18" t="str">
        <f>TEXT(Table1[[#This Row],[Order Date]],"MMMM")</f>
        <v>September</v>
      </c>
      <c r="O18">
        <f>YEAR(Table1[[#This Row],[Order Date]])</f>
        <v>2025</v>
      </c>
      <c r="P18" t="str">
        <f>"Q"&amp;ROUNDUP(MONTH(Table1[[#This Row],[Order Date]])/3,0)</f>
        <v>Q3</v>
      </c>
      <c r="Q18" s="3">
        <f>Table1[[#This Row],[Profit]]/Table1[[#This Row],[Sales]]</f>
        <v>0.28313408559520181</v>
      </c>
      <c r="R18" t="str">
        <f>IF(Table1[[#This Row],[Sales]]&lt;1000,"LOW",IF(Table1[[#This Row],[Sales]]&lt;5000,"MEDIUM","HIGH"))</f>
        <v>HIGH</v>
      </c>
      <c r="S18" s="2">
        <f>Table1[[#This Row],[Discount]]/100</f>
        <v>0.1</v>
      </c>
    </row>
    <row r="19" spans="1:19" x14ac:dyDescent="0.3">
      <c r="A19">
        <v>10018</v>
      </c>
      <c r="B19" s="1" t="s">
        <v>83</v>
      </c>
      <c r="C19" t="s">
        <v>84</v>
      </c>
      <c r="D19" t="s">
        <v>56</v>
      </c>
      <c r="E19" t="s">
        <v>57</v>
      </c>
      <c r="F19" t="s">
        <v>25</v>
      </c>
      <c r="G19" t="s">
        <v>26</v>
      </c>
      <c r="H19" t="s">
        <v>27</v>
      </c>
      <c r="I19">
        <v>4</v>
      </c>
      <c r="J19">
        <v>9203.6</v>
      </c>
      <c r="K19">
        <v>2064.7399999999998</v>
      </c>
      <c r="L19">
        <v>5</v>
      </c>
      <c r="M19" t="s">
        <v>40</v>
      </c>
      <c r="N19" t="str">
        <f>TEXT(Table1[[#This Row],[Order Date]],"MMMM")</f>
        <v>January</v>
      </c>
      <c r="O19">
        <f>YEAR(Table1[[#This Row],[Order Date]])</f>
        <v>2025</v>
      </c>
      <c r="P19" t="str">
        <f>"Q"&amp;ROUNDUP(MONTH(Table1[[#This Row],[Order Date]])/3,0)</f>
        <v>Q1</v>
      </c>
      <c r="Q19" s="3">
        <f>Table1[[#This Row],[Profit]]/Table1[[#This Row],[Sales]]</f>
        <v>0.22434047546612193</v>
      </c>
      <c r="R19" t="str">
        <f>IF(Table1[[#This Row],[Sales]]&lt;1000,"LOW",IF(Table1[[#This Row],[Sales]]&lt;5000,"MEDIUM","HIGH"))</f>
        <v>HIGH</v>
      </c>
      <c r="S19" s="2">
        <f>Table1[[#This Row],[Discount]]/100</f>
        <v>0.05</v>
      </c>
    </row>
    <row r="20" spans="1:19" x14ac:dyDescent="0.3">
      <c r="A20">
        <v>10019</v>
      </c>
      <c r="B20" s="1" t="s">
        <v>85</v>
      </c>
      <c r="C20" t="s">
        <v>86</v>
      </c>
      <c r="D20" t="s">
        <v>15</v>
      </c>
      <c r="E20" t="s">
        <v>16</v>
      </c>
      <c r="F20" t="s">
        <v>17</v>
      </c>
      <c r="G20" t="s">
        <v>75</v>
      </c>
      <c r="H20" t="s">
        <v>76</v>
      </c>
      <c r="I20">
        <v>1</v>
      </c>
      <c r="J20">
        <v>392</v>
      </c>
      <c r="K20">
        <v>86.33</v>
      </c>
      <c r="L20">
        <v>20</v>
      </c>
      <c r="M20" t="s">
        <v>20</v>
      </c>
      <c r="N20" t="str">
        <f>TEXT(Table1[[#This Row],[Order Date]],"MMMM")</f>
        <v>December</v>
      </c>
      <c r="O20">
        <f>YEAR(Table1[[#This Row],[Order Date]])</f>
        <v>2025</v>
      </c>
      <c r="P20" t="str">
        <f>"Q"&amp;ROUNDUP(MONTH(Table1[[#This Row],[Order Date]])/3,0)</f>
        <v>Q4</v>
      </c>
      <c r="Q20" s="3">
        <f>Table1[[#This Row],[Profit]]/Table1[[#This Row],[Sales]]</f>
        <v>0.22022959183673468</v>
      </c>
      <c r="R20" t="str">
        <f>IF(Table1[[#This Row],[Sales]]&lt;1000,"LOW",IF(Table1[[#This Row],[Sales]]&lt;5000,"MEDIUM","HIGH"))</f>
        <v>LOW</v>
      </c>
      <c r="S20" s="2">
        <f>Table1[[#This Row],[Discount]]/100</f>
        <v>0.2</v>
      </c>
    </row>
    <row r="21" spans="1:19" x14ac:dyDescent="0.3">
      <c r="A21">
        <v>10020</v>
      </c>
      <c r="B21" s="1" t="s">
        <v>87</v>
      </c>
      <c r="C21" t="s">
        <v>88</v>
      </c>
      <c r="D21" t="s">
        <v>66</v>
      </c>
      <c r="E21" t="s">
        <v>16</v>
      </c>
      <c r="F21" t="s">
        <v>31</v>
      </c>
      <c r="G21" t="s">
        <v>89</v>
      </c>
      <c r="H21" t="s">
        <v>90</v>
      </c>
      <c r="I21">
        <v>8</v>
      </c>
      <c r="J21">
        <v>35644</v>
      </c>
      <c r="K21">
        <v>8049.52</v>
      </c>
      <c r="L21">
        <v>5</v>
      </c>
      <c r="M21" t="s">
        <v>28</v>
      </c>
      <c r="N21" t="str">
        <f>TEXT(Table1[[#This Row],[Order Date]],"MMMM")</f>
        <v>July</v>
      </c>
      <c r="O21">
        <f>YEAR(Table1[[#This Row],[Order Date]])</f>
        <v>2025</v>
      </c>
      <c r="P21" t="str">
        <f>"Q"&amp;ROUNDUP(MONTH(Table1[[#This Row],[Order Date]])/3,0)</f>
        <v>Q3</v>
      </c>
      <c r="Q21" s="3">
        <f>Table1[[#This Row],[Profit]]/Table1[[#This Row],[Sales]]</f>
        <v>0.22583099539894513</v>
      </c>
      <c r="R21" t="str">
        <f>IF(Table1[[#This Row],[Sales]]&lt;1000,"LOW",IF(Table1[[#This Row],[Sales]]&lt;5000,"MEDIUM","HIGH"))</f>
        <v>HIGH</v>
      </c>
      <c r="S21" s="2">
        <f>Table1[[#This Row],[Discount]]/100</f>
        <v>0.05</v>
      </c>
    </row>
    <row r="22" spans="1:19" x14ac:dyDescent="0.3">
      <c r="A22">
        <v>10021</v>
      </c>
      <c r="B22" s="1" t="s">
        <v>91</v>
      </c>
      <c r="C22" t="s">
        <v>92</v>
      </c>
      <c r="D22" t="s">
        <v>15</v>
      </c>
      <c r="E22" t="s">
        <v>16</v>
      </c>
      <c r="F22" t="s">
        <v>31</v>
      </c>
      <c r="G22" t="s">
        <v>38</v>
      </c>
      <c r="H22" t="s">
        <v>39</v>
      </c>
      <c r="I22">
        <v>1</v>
      </c>
      <c r="J22">
        <v>2555.9499999999998</v>
      </c>
      <c r="K22">
        <v>623.87</v>
      </c>
      <c r="L22">
        <v>15</v>
      </c>
      <c r="M22" t="s">
        <v>45</v>
      </c>
      <c r="N22" t="str">
        <f>TEXT(Table1[[#This Row],[Order Date]],"MMMM")</f>
        <v>April</v>
      </c>
      <c r="O22">
        <f>YEAR(Table1[[#This Row],[Order Date]])</f>
        <v>2025</v>
      </c>
      <c r="P22" t="str">
        <f>"Q"&amp;ROUNDUP(MONTH(Table1[[#This Row],[Order Date]])/3,0)</f>
        <v>Q2</v>
      </c>
      <c r="Q22" s="3">
        <f>Table1[[#This Row],[Profit]]/Table1[[#This Row],[Sales]]</f>
        <v>0.2440853694321094</v>
      </c>
      <c r="R22" t="str">
        <f>IF(Table1[[#This Row],[Sales]]&lt;1000,"LOW",IF(Table1[[#This Row],[Sales]]&lt;5000,"MEDIUM","HIGH"))</f>
        <v>MEDIUM</v>
      </c>
      <c r="S22" s="2">
        <f>Table1[[#This Row],[Discount]]/100</f>
        <v>0.15</v>
      </c>
    </row>
    <row r="23" spans="1:19" x14ac:dyDescent="0.3">
      <c r="A23">
        <v>10022</v>
      </c>
      <c r="B23" s="1" t="s">
        <v>93</v>
      </c>
      <c r="C23" t="s">
        <v>94</v>
      </c>
      <c r="D23" t="s">
        <v>60</v>
      </c>
      <c r="E23" t="s">
        <v>61</v>
      </c>
      <c r="F23" t="s">
        <v>25</v>
      </c>
      <c r="G23" t="s">
        <v>95</v>
      </c>
      <c r="H23" t="s">
        <v>96</v>
      </c>
      <c r="I23">
        <v>6</v>
      </c>
      <c r="J23">
        <v>19414.2</v>
      </c>
      <c r="K23">
        <v>1948.84</v>
      </c>
      <c r="L23">
        <v>5</v>
      </c>
      <c r="M23" t="s">
        <v>20</v>
      </c>
      <c r="N23" t="str">
        <f>TEXT(Table1[[#This Row],[Order Date]],"MMMM")</f>
        <v>August</v>
      </c>
      <c r="O23">
        <f>YEAR(Table1[[#This Row],[Order Date]])</f>
        <v>2025</v>
      </c>
      <c r="P23" t="str">
        <f>"Q"&amp;ROUNDUP(MONTH(Table1[[#This Row],[Order Date]])/3,0)</f>
        <v>Q3</v>
      </c>
      <c r="Q23" s="3">
        <f>Table1[[#This Row],[Profit]]/Table1[[#This Row],[Sales]]</f>
        <v>0.10038219447620812</v>
      </c>
      <c r="R23" t="str">
        <f>IF(Table1[[#This Row],[Sales]]&lt;1000,"LOW",IF(Table1[[#This Row],[Sales]]&lt;5000,"MEDIUM","HIGH"))</f>
        <v>HIGH</v>
      </c>
      <c r="S23" s="2">
        <f>Table1[[#This Row],[Discount]]/100</f>
        <v>0.05</v>
      </c>
    </row>
    <row r="24" spans="1:19" x14ac:dyDescent="0.3">
      <c r="A24">
        <v>10023</v>
      </c>
      <c r="B24" s="1" t="s">
        <v>97</v>
      </c>
      <c r="C24" t="s">
        <v>98</v>
      </c>
      <c r="D24" t="s">
        <v>23</v>
      </c>
      <c r="E24" t="s">
        <v>24</v>
      </c>
      <c r="F24" t="s">
        <v>25</v>
      </c>
      <c r="G24" t="s">
        <v>26</v>
      </c>
      <c r="H24" t="s">
        <v>48</v>
      </c>
      <c r="I24">
        <v>3</v>
      </c>
      <c r="J24">
        <v>11994</v>
      </c>
      <c r="K24">
        <v>3449.94</v>
      </c>
      <c r="L24">
        <v>0</v>
      </c>
      <c r="M24" t="s">
        <v>45</v>
      </c>
      <c r="N24" t="str">
        <f>TEXT(Table1[[#This Row],[Order Date]],"MMMM")</f>
        <v>May</v>
      </c>
      <c r="O24">
        <f>YEAR(Table1[[#This Row],[Order Date]])</f>
        <v>2025</v>
      </c>
      <c r="P24" t="str">
        <f>"Q"&amp;ROUNDUP(MONTH(Table1[[#This Row],[Order Date]])/3,0)</f>
        <v>Q2</v>
      </c>
      <c r="Q24" s="3">
        <f>Table1[[#This Row],[Profit]]/Table1[[#This Row],[Sales]]</f>
        <v>0.28763881940970487</v>
      </c>
      <c r="R24" t="str">
        <f>IF(Table1[[#This Row],[Sales]]&lt;1000,"LOW",IF(Table1[[#This Row],[Sales]]&lt;5000,"MEDIUM","HIGH"))</f>
        <v>HIGH</v>
      </c>
      <c r="S24" s="2">
        <f>Table1[[#This Row],[Discount]]/100</f>
        <v>0</v>
      </c>
    </row>
    <row r="25" spans="1:19" x14ac:dyDescent="0.3">
      <c r="A25">
        <v>10024</v>
      </c>
      <c r="B25" s="1" t="s">
        <v>99</v>
      </c>
      <c r="C25" t="s">
        <v>100</v>
      </c>
      <c r="D25" t="s">
        <v>52</v>
      </c>
      <c r="E25" t="s">
        <v>53</v>
      </c>
      <c r="F25" t="s">
        <v>25</v>
      </c>
      <c r="G25" t="s">
        <v>26</v>
      </c>
      <c r="H25" t="s">
        <v>48</v>
      </c>
      <c r="I25">
        <v>4</v>
      </c>
      <c r="J25">
        <v>6412.8</v>
      </c>
      <c r="K25">
        <v>1610.94</v>
      </c>
      <c r="L25">
        <v>20</v>
      </c>
      <c r="M25" t="s">
        <v>45</v>
      </c>
      <c r="N25" t="str">
        <f>TEXT(Table1[[#This Row],[Order Date]],"MMMM")</f>
        <v>August</v>
      </c>
      <c r="O25">
        <f>YEAR(Table1[[#This Row],[Order Date]])</f>
        <v>2025</v>
      </c>
      <c r="P25" t="str">
        <f>"Q"&amp;ROUNDUP(MONTH(Table1[[#This Row],[Order Date]])/3,0)</f>
        <v>Q3</v>
      </c>
      <c r="Q25" s="3">
        <f>Table1[[#This Row],[Profit]]/Table1[[#This Row],[Sales]]</f>
        <v>0.25120696107784429</v>
      </c>
      <c r="R25" t="str">
        <f>IF(Table1[[#This Row],[Sales]]&lt;1000,"LOW",IF(Table1[[#This Row],[Sales]]&lt;5000,"MEDIUM","HIGH"))</f>
        <v>HIGH</v>
      </c>
      <c r="S25" s="2">
        <f>Table1[[#This Row],[Discount]]/100</f>
        <v>0.2</v>
      </c>
    </row>
    <row r="26" spans="1:19" x14ac:dyDescent="0.3">
      <c r="A26">
        <v>10025</v>
      </c>
      <c r="B26" s="1" t="s">
        <v>101</v>
      </c>
      <c r="C26" t="s">
        <v>42</v>
      </c>
      <c r="D26" t="s">
        <v>56</v>
      </c>
      <c r="E26" t="s">
        <v>57</v>
      </c>
      <c r="F26" t="s">
        <v>31</v>
      </c>
      <c r="G26" t="s">
        <v>38</v>
      </c>
      <c r="H26" t="s">
        <v>39</v>
      </c>
      <c r="I26">
        <v>2</v>
      </c>
      <c r="J26">
        <v>7630.2</v>
      </c>
      <c r="K26">
        <v>951.1</v>
      </c>
      <c r="L26">
        <v>10</v>
      </c>
      <c r="M26" t="s">
        <v>28</v>
      </c>
      <c r="N26" t="str">
        <f>TEXT(Table1[[#This Row],[Order Date]],"MMMM")</f>
        <v>July</v>
      </c>
      <c r="O26">
        <f>YEAR(Table1[[#This Row],[Order Date]])</f>
        <v>2025</v>
      </c>
      <c r="P26" t="str">
        <f>"Q"&amp;ROUNDUP(MONTH(Table1[[#This Row],[Order Date]])/3,0)</f>
        <v>Q3</v>
      </c>
      <c r="Q26" s="3">
        <f>Table1[[#This Row],[Profit]]/Table1[[#This Row],[Sales]]</f>
        <v>0.12464941941233521</v>
      </c>
      <c r="R26" t="str">
        <f>IF(Table1[[#This Row],[Sales]]&lt;1000,"LOW",IF(Table1[[#This Row],[Sales]]&lt;5000,"MEDIUM","HIGH"))</f>
        <v>HIGH</v>
      </c>
      <c r="S26" s="2">
        <f>Table1[[#This Row],[Discount]]/100</f>
        <v>0.1</v>
      </c>
    </row>
    <row r="27" spans="1:19" x14ac:dyDescent="0.3">
      <c r="A27">
        <v>10026</v>
      </c>
      <c r="B27" s="1" t="s">
        <v>102</v>
      </c>
      <c r="C27" t="s">
        <v>103</v>
      </c>
      <c r="D27" t="s">
        <v>15</v>
      </c>
      <c r="E27" t="s">
        <v>16</v>
      </c>
      <c r="F27" t="s">
        <v>25</v>
      </c>
      <c r="G27" t="s">
        <v>26</v>
      </c>
      <c r="H27" t="s">
        <v>48</v>
      </c>
      <c r="I27">
        <v>5</v>
      </c>
      <c r="J27">
        <v>12036</v>
      </c>
      <c r="K27">
        <v>2585.42</v>
      </c>
      <c r="L27">
        <v>15</v>
      </c>
      <c r="M27" t="s">
        <v>40</v>
      </c>
      <c r="N27" t="str">
        <f>TEXT(Table1[[#This Row],[Order Date]],"MMMM")</f>
        <v>December</v>
      </c>
      <c r="O27">
        <f>YEAR(Table1[[#This Row],[Order Date]])</f>
        <v>2025</v>
      </c>
      <c r="P27" t="str">
        <f>"Q"&amp;ROUNDUP(MONTH(Table1[[#This Row],[Order Date]])/3,0)</f>
        <v>Q4</v>
      </c>
      <c r="Q27" s="3">
        <f>Table1[[#This Row],[Profit]]/Table1[[#This Row],[Sales]]</f>
        <v>0.21480724493187106</v>
      </c>
      <c r="R27" t="str">
        <f>IF(Table1[[#This Row],[Sales]]&lt;1000,"LOW",IF(Table1[[#This Row],[Sales]]&lt;5000,"MEDIUM","HIGH"))</f>
        <v>HIGH</v>
      </c>
      <c r="S27" s="2">
        <f>Table1[[#This Row],[Discount]]/100</f>
        <v>0.15</v>
      </c>
    </row>
    <row r="28" spans="1:19" x14ac:dyDescent="0.3">
      <c r="A28">
        <v>10027</v>
      </c>
      <c r="B28" s="1" t="s">
        <v>104</v>
      </c>
      <c r="C28" t="s">
        <v>105</v>
      </c>
      <c r="D28" t="s">
        <v>74</v>
      </c>
      <c r="E28" t="s">
        <v>74</v>
      </c>
      <c r="F28" t="s">
        <v>31</v>
      </c>
      <c r="G28" t="s">
        <v>32</v>
      </c>
      <c r="H28" t="s">
        <v>33</v>
      </c>
      <c r="I28">
        <v>4</v>
      </c>
      <c r="J28">
        <v>1222.4000000000001</v>
      </c>
      <c r="K28">
        <v>176.4</v>
      </c>
      <c r="L28">
        <v>20</v>
      </c>
      <c r="M28" t="s">
        <v>20</v>
      </c>
      <c r="N28" t="str">
        <f>TEXT(Table1[[#This Row],[Order Date]],"MMMM")</f>
        <v>July</v>
      </c>
      <c r="O28">
        <f>YEAR(Table1[[#This Row],[Order Date]])</f>
        <v>2025</v>
      </c>
      <c r="P28" t="str">
        <f>"Q"&amp;ROUNDUP(MONTH(Table1[[#This Row],[Order Date]])/3,0)</f>
        <v>Q3</v>
      </c>
      <c r="Q28" s="3">
        <f>Table1[[#This Row],[Profit]]/Table1[[#This Row],[Sales]]</f>
        <v>0.14430628272251309</v>
      </c>
      <c r="R28" t="str">
        <f>IF(Table1[[#This Row],[Sales]]&lt;1000,"LOW",IF(Table1[[#This Row],[Sales]]&lt;5000,"MEDIUM","HIGH"))</f>
        <v>MEDIUM</v>
      </c>
      <c r="S28" s="2">
        <f>Table1[[#This Row],[Discount]]/100</f>
        <v>0.2</v>
      </c>
    </row>
    <row r="29" spans="1:19" x14ac:dyDescent="0.3">
      <c r="A29">
        <v>10028</v>
      </c>
      <c r="B29" s="1" t="s">
        <v>106</v>
      </c>
      <c r="C29" t="s">
        <v>107</v>
      </c>
      <c r="D29" t="s">
        <v>56</v>
      </c>
      <c r="E29" t="s">
        <v>57</v>
      </c>
      <c r="F29" t="s">
        <v>25</v>
      </c>
      <c r="G29" t="s">
        <v>26</v>
      </c>
      <c r="H29" t="s">
        <v>71</v>
      </c>
      <c r="I29">
        <v>7</v>
      </c>
      <c r="J29">
        <v>30573.9</v>
      </c>
      <c r="K29">
        <v>3091.49</v>
      </c>
      <c r="L29">
        <v>10</v>
      </c>
      <c r="M29" t="s">
        <v>28</v>
      </c>
      <c r="N29" t="str">
        <f>TEXT(Table1[[#This Row],[Order Date]],"MMMM")</f>
        <v>September</v>
      </c>
      <c r="O29">
        <f>YEAR(Table1[[#This Row],[Order Date]])</f>
        <v>2025</v>
      </c>
      <c r="P29" t="str">
        <f>"Q"&amp;ROUNDUP(MONTH(Table1[[#This Row],[Order Date]])/3,0)</f>
        <v>Q3</v>
      </c>
      <c r="Q29" s="3">
        <f>Table1[[#This Row],[Profit]]/Table1[[#This Row],[Sales]]</f>
        <v>0.10111533039618759</v>
      </c>
      <c r="R29" t="str">
        <f>IF(Table1[[#This Row],[Sales]]&lt;1000,"LOW",IF(Table1[[#This Row],[Sales]]&lt;5000,"MEDIUM","HIGH"))</f>
        <v>HIGH</v>
      </c>
      <c r="S29" s="2">
        <f>Table1[[#This Row],[Discount]]/100</f>
        <v>0.1</v>
      </c>
    </row>
    <row r="30" spans="1:19" x14ac:dyDescent="0.3">
      <c r="A30">
        <v>10029</v>
      </c>
      <c r="B30" s="1" t="s">
        <v>108</v>
      </c>
      <c r="C30" t="s">
        <v>109</v>
      </c>
      <c r="D30" t="s">
        <v>56</v>
      </c>
      <c r="E30" t="s">
        <v>57</v>
      </c>
      <c r="F30" t="s">
        <v>25</v>
      </c>
      <c r="G30" t="s">
        <v>95</v>
      </c>
      <c r="H30" t="s">
        <v>96</v>
      </c>
      <c r="I30">
        <v>2</v>
      </c>
      <c r="J30">
        <v>4696</v>
      </c>
      <c r="K30">
        <v>1365.05</v>
      </c>
      <c r="L30">
        <v>20</v>
      </c>
      <c r="M30" t="s">
        <v>20</v>
      </c>
      <c r="N30" t="str">
        <f>TEXT(Table1[[#This Row],[Order Date]],"MMMM")</f>
        <v>May</v>
      </c>
      <c r="O30">
        <f>YEAR(Table1[[#This Row],[Order Date]])</f>
        <v>2025</v>
      </c>
      <c r="P30" t="str">
        <f>"Q"&amp;ROUNDUP(MONTH(Table1[[#This Row],[Order Date]])/3,0)</f>
        <v>Q2</v>
      </c>
      <c r="Q30" s="3">
        <f>Table1[[#This Row],[Profit]]/Table1[[#This Row],[Sales]]</f>
        <v>0.29068356047700167</v>
      </c>
      <c r="R30" t="str">
        <f>IF(Table1[[#This Row],[Sales]]&lt;1000,"LOW",IF(Table1[[#This Row],[Sales]]&lt;5000,"MEDIUM","HIGH"))</f>
        <v>MEDIUM</v>
      </c>
      <c r="S30" s="2">
        <f>Table1[[#This Row],[Discount]]/100</f>
        <v>0.2</v>
      </c>
    </row>
    <row r="31" spans="1:19" x14ac:dyDescent="0.3">
      <c r="A31">
        <v>10030</v>
      </c>
      <c r="B31" s="1" t="s">
        <v>110</v>
      </c>
      <c r="C31" t="s">
        <v>111</v>
      </c>
      <c r="D31" t="s">
        <v>56</v>
      </c>
      <c r="E31" t="s">
        <v>57</v>
      </c>
      <c r="F31" t="s">
        <v>31</v>
      </c>
      <c r="G31" t="s">
        <v>38</v>
      </c>
      <c r="H31" t="s">
        <v>39</v>
      </c>
      <c r="I31">
        <v>7</v>
      </c>
      <c r="J31">
        <v>14017.5</v>
      </c>
      <c r="K31">
        <v>2353.9</v>
      </c>
      <c r="L31">
        <v>10</v>
      </c>
      <c r="M31" t="s">
        <v>28</v>
      </c>
      <c r="N31" t="str">
        <f>TEXT(Table1[[#This Row],[Order Date]],"MMMM")</f>
        <v>April</v>
      </c>
      <c r="O31">
        <f>YEAR(Table1[[#This Row],[Order Date]])</f>
        <v>2025</v>
      </c>
      <c r="P31" t="str">
        <f>"Q"&amp;ROUNDUP(MONTH(Table1[[#This Row],[Order Date]])/3,0)</f>
        <v>Q2</v>
      </c>
      <c r="Q31" s="3">
        <f>Table1[[#This Row],[Profit]]/Table1[[#This Row],[Sales]]</f>
        <v>0.16792580702693063</v>
      </c>
      <c r="R31" t="str">
        <f>IF(Table1[[#This Row],[Sales]]&lt;1000,"LOW",IF(Table1[[#This Row],[Sales]]&lt;5000,"MEDIUM","HIGH"))</f>
        <v>HIGH</v>
      </c>
      <c r="S31" s="2">
        <f>Table1[[#This Row],[Discount]]/100</f>
        <v>0.1</v>
      </c>
    </row>
    <row r="32" spans="1:19" x14ac:dyDescent="0.3">
      <c r="A32">
        <v>10031</v>
      </c>
      <c r="B32" s="1" t="s">
        <v>112</v>
      </c>
      <c r="C32" t="s">
        <v>113</v>
      </c>
      <c r="D32" t="s">
        <v>66</v>
      </c>
      <c r="E32" t="s">
        <v>16</v>
      </c>
      <c r="F32" t="s">
        <v>17</v>
      </c>
      <c r="G32" t="s">
        <v>75</v>
      </c>
      <c r="H32" t="s">
        <v>76</v>
      </c>
      <c r="I32">
        <v>3</v>
      </c>
      <c r="J32">
        <v>5346</v>
      </c>
      <c r="K32">
        <v>1081.42</v>
      </c>
      <c r="L32">
        <v>0</v>
      </c>
      <c r="M32" t="s">
        <v>20</v>
      </c>
      <c r="N32" t="str">
        <f>TEXT(Table1[[#This Row],[Order Date]],"MMMM")</f>
        <v>May</v>
      </c>
      <c r="O32">
        <f>YEAR(Table1[[#This Row],[Order Date]])</f>
        <v>2025</v>
      </c>
      <c r="P32" t="str">
        <f>"Q"&amp;ROUNDUP(MONTH(Table1[[#This Row],[Order Date]])/3,0)</f>
        <v>Q2</v>
      </c>
      <c r="Q32" s="3">
        <f>Table1[[#This Row],[Profit]]/Table1[[#This Row],[Sales]]</f>
        <v>0.20228582117471008</v>
      </c>
      <c r="R32" t="str">
        <f>IF(Table1[[#This Row],[Sales]]&lt;1000,"LOW",IF(Table1[[#This Row],[Sales]]&lt;5000,"MEDIUM","HIGH"))</f>
        <v>HIGH</v>
      </c>
      <c r="S32" s="2">
        <f>Table1[[#This Row],[Discount]]/100</f>
        <v>0</v>
      </c>
    </row>
    <row r="33" spans="1:19" x14ac:dyDescent="0.3">
      <c r="A33">
        <v>10032</v>
      </c>
      <c r="B33" s="1" t="s">
        <v>114</v>
      </c>
      <c r="C33" t="s">
        <v>115</v>
      </c>
      <c r="D33" t="s">
        <v>56</v>
      </c>
      <c r="E33" t="s">
        <v>57</v>
      </c>
      <c r="F33" t="s">
        <v>17</v>
      </c>
      <c r="G33" t="s">
        <v>75</v>
      </c>
      <c r="H33" t="s">
        <v>116</v>
      </c>
      <c r="I33">
        <v>8</v>
      </c>
      <c r="J33">
        <v>33820</v>
      </c>
      <c r="K33">
        <v>9625.23</v>
      </c>
      <c r="L33">
        <v>5</v>
      </c>
      <c r="M33" t="s">
        <v>40</v>
      </c>
      <c r="N33" t="str">
        <f>TEXT(Table1[[#This Row],[Order Date]],"MMMM")</f>
        <v>August</v>
      </c>
      <c r="O33">
        <f>YEAR(Table1[[#This Row],[Order Date]])</f>
        <v>2025</v>
      </c>
      <c r="P33" t="str">
        <f>"Q"&amp;ROUNDUP(MONTH(Table1[[#This Row],[Order Date]])/3,0)</f>
        <v>Q3</v>
      </c>
      <c r="Q33" s="3">
        <f>Table1[[#This Row],[Profit]]/Table1[[#This Row],[Sales]]</f>
        <v>0.28460171496156117</v>
      </c>
      <c r="R33" t="str">
        <f>IF(Table1[[#This Row],[Sales]]&lt;1000,"LOW",IF(Table1[[#This Row],[Sales]]&lt;5000,"MEDIUM","HIGH"))</f>
        <v>HIGH</v>
      </c>
      <c r="S33" s="2">
        <f>Table1[[#This Row],[Discount]]/100</f>
        <v>0.05</v>
      </c>
    </row>
    <row r="34" spans="1:19" x14ac:dyDescent="0.3">
      <c r="A34">
        <v>10033</v>
      </c>
      <c r="B34" s="1" t="s">
        <v>117</v>
      </c>
      <c r="C34" t="s">
        <v>118</v>
      </c>
      <c r="D34" t="s">
        <v>56</v>
      </c>
      <c r="E34" t="s">
        <v>57</v>
      </c>
      <c r="F34" t="s">
        <v>31</v>
      </c>
      <c r="G34" t="s">
        <v>89</v>
      </c>
      <c r="H34" t="s">
        <v>90</v>
      </c>
      <c r="I34">
        <v>7</v>
      </c>
      <c r="J34">
        <v>19331.2</v>
      </c>
      <c r="K34">
        <v>4737.0600000000004</v>
      </c>
      <c r="L34">
        <v>20</v>
      </c>
      <c r="M34" t="s">
        <v>20</v>
      </c>
      <c r="N34" t="str">
        <f>TEXT(Table1[[#This Row],[Order Date]],"MMMM")</f>
        <v>February</v>
      </c>
      <c r="O34">
        <f>YEAR(Table1[[#This Row],[Order Date]])</f>
        <v>2025</v>
      </c>
      <c r="P34" t="str">
        <f>"Q"&amp;ROUNDUP(MONTH(Table1[[#This Row],[Order Date]])/3,0)</f>
        <v>Q1</v>
      </c>
      <c r="Q34" s="3">
        <f>Table1[[#This Row],[Profit]]/Table1[[#This Row],[Sales]]</f>
        <v>0.24504738453898361</v>
      </c>
      <c r="R34" t="str">
        <f>IF(Table1[[#This Row],[Sales]]&lt;1000,"LOW",IF(Table1[[#This Row],[Sales]]&lt;5000,"MEDIUM","HIGH"))</f>
        <v>HIGH</v>
      </c>
      <c r="S34" s="2">
        <f>Table1[[#This Row],[Discount]]/100</f>
        <v>0.2</v>
      </c>
    </row>
    <row r="35" spans="1:19" x14ac:dyDescent="0.3">
      <c r="A35">
        <v>10034</v>
      </c>
      <c r="B35" s="1" t="s">
        <v>119</v>
      </c>
      <c r="C35" t="s">
        <v>113</v>
      </c>
      <c r="D35" t="s">
        <v>60</v>
      </c>
      <c r="E35" t="s">
        <v>61</v>
      </c>
      <c r="F35" t="s">
        <v>25</v>
      </c>
      <c r="G35" t="s">
        <v>95</v>
      </c>
      <c r="H35" t="s">
        <v>96</v>
      </c>
      <c r="I35">
        <v>4</v>
      </c>
      <c r="J35">
        <v>7612</v>
      </c>
      <c r="K35">
        <v>1692.06</v>
      </c>
      <c r="L35">
        <v>0</v>
      </c>
      <c r="M35" t="s">
        <v>20</v>
      </c>
      <c r="N35" t="str">
        <f>TEXT(Table1[[#This Row],[Order Date]],"MMMM")</f>
        <v>November</v>
      </c>
      <c r="O35">
        <f>YEAR(Table1[[#This Row],[Order Date]])</f>
        <v>2025</v>
      </c>
      <c r="P35" t="str">
        <f>"Q"&amp;ROUNDUP(MONTH(Table1[[#This Row],[Order Date]])/3,0)</f>
        <v>Q4</v>
      </c>
      <c r="Q35" s="3">
        <f>Table1[[#This Row],[Profit]]/Table1[[#This Row],[Sales]]</f>
        <v>0.22228849185496583</v>
      </c>
      <c r="R35" t="str">
        <f>IF(Table1[[#This Row],[Sales]]&lt;1000,"LOW",IF(Table1[[#This Row],[Sales]]&lt;5000,"MEDIUM","HIGH"))</f>
        <v>HIGH</v>
      </c>
      <c r="S35" s="2">
        <f>Table1[[#This Row],[Discount]]/100</f>
        <v>0</v>
      </c>
    </row>
    <row r="36" spans="1:19" x14ac:dyDescent="0.3">
      <c r="A36">
        <v>10035</v>
      </c>
      <c r="B36" s="1" t="s">
        <v>120</v>
      </c>
      <c r="C36" t="s">
        <v>121</v>
      </c>
      <c r="D36" t="s">
        <v>66</v>
      </c>
      <c r="E36" t="s">
        <v>16</v>
      </c>
      <c r="F36" t="s">
        <v>31</v>
      </c>
      <c r="G36" t="s">
        <v>89</v>
      </c>
      <c r="H36" t="s">
        <v>90</v>
      </c>
      <c r="I36">
        <v>2</v>
      </c>
      <c r="J36">
        <v>3475.2</v>
      </c>
      <c r="K36">
        <v>593.15</v>
      </c>
      <c r="L36">
        <v>20</v>
      </c>
      <c r="M36" t="s">
        <v>28</v>
      </c>
      <c r="N36" t="str">
        <f>TEXT(Table1[[#This Row],[Order Date]],"MMMM")</f>
        <v>December</v>
      </c>
      <c r="O36">
        <f>YEAR(Table1[[#This Row],[Order Date]])</f>
        <v>2025</v>
      </c>
      <c r="P36" t="str">
        <f>"Q"&amp;ROUNDUP(MONTH(Table1[[#This Row],[Order Date]])/3,0)</f>
        <v>Q4</v>
      </c>
      <c r="Q36" s="3">
        <f>Table1[[#This Row],[Profit]]/Table1[[#This Row],[Sales]]</f>
        <v>0.1706808241252302</v>
      </c>
      <c r="R36" t="str">
        <f>IF(Table1[[#This Row],[Sales]]&lt;1000,"LOW",IF(Table1[[#This Row],[Sales]]&lt;5000,"MEDIUM","HIGH"))</f>
        <v>MEDIUM</v>
      </c>
      <c r="S36" s="2">
        <f>Table1[[#This Row],[Discount]]/100</f>
        <v>0.2</v>
      </c>
    </row>
    <row r="37" spans="1:19" x14ac:dyDescent="0.3">
      <c r="A37">
        <v>10036</v>
      </c>
      <c r="B37" s="1" t="s">
        <v>122</v>
      </c>
      <c r="C37" t="s">
        <v>123</v>
      </c>
      <c r="D37" t="s">
        <v>15</v>
      </c>
      <c r="E37" t="s">
        <v>16</v>
      </c>
      <c r="F37" t="s">
        <v>31</v>
      </c>
      <c r="G37" t="s">
        <v>124</v>
      </c>
      <c r="H37" t="s">
        <v>125</v>
      </c>
      <c r="I37">
        <v>8</v>
      </c>
      <c r="J37">
        <v>8998.4</v>
      </c>
      <c r="K37">
        <v>1013.75</v>
      </c>
      <c r="L37">
        <v>20</v>
      </c>
      <c r="M37" t="s">
        <v>49</v>
      </c>
      <c r="N37" t="str">
        <f>TEXT(Table1[[#This Row],[Order Date]],"MMMM")</f>
        <v>September</v>
      </c>
      <c r="O37">
        <f>YEAR(Table1[[#This Row],[Order Date]])</f>
        <v>2025</v>
      </c>
      <c r="P37" t="str">
        <f>"Q"&amp;ROUNDUP(MONTH(Table1[[#This Row],[Order Date]])/3,0)</f>
        <v>Q3</v>
      </c>
      <c r="Q37" s="3">
        <f>Table1[[#This Row],[Profit]]/Table1[[#This Row],[Sales]]</f>
        <v>0.11265891714082504</v>
      </c>
      <c r="R37" t="str">
        <f>IF(Table1[[#This Row],[Sales]]&lt;1000,"LOW",IF(Table1[[#This Row],[Sales]]&lt;5000,"MEDIUM","HIGH"))</f>
        <v>HIGH</v>
      </c>
      <c r="S37" s="2">
        <f>Table1[[#This Row],[Discount]]/100</f>
        <v>0.2</v>
      </c>
    </row>
    <row r="38" spans="1:19" x14ac:dyDescent="0.3">
      <c r="A38">
        <v>10037</v>
      </c>
      <c r="B38" s="1" t="s">
        <v>126</v>
      </c>
      <c r="C38" t="s">
        <v>127</v>
      </c>
      <c r="D38" t="s">
        <v>74</v>
      </c>
      <c r="E38" t="s">
        <v>74</v>
      </c>
      <c r="F38" t="s">
        <v>17</v>
      </c>
      <c r="G38" t="s">
        <v>18</v>
      </c>
      <c r="H38" t="s">
        <v>19</v>
      </c>
      <c r="I38">
        <v>7</v>
      </c>
      <c r="J38">
        <v>15757</v>
      </c>
      <c r="K38">
        <v>4295.7</v>
      </c>
      <c r="L38">
        <v>0</v>
      </c>
      <c r="M38" t="s">
        <v>20</v>
      </c>
      <c r="N38" t="str">
        <f>TEXT(Table1[[#This Row],[Order Date]],"MMMM")</f>
        <v>June</v>
      </c>
      <c r="O38">
        <f>YEAR(Table1[[#This Row],[Order Date]])</f>
        <v>2025</v>
      </c>
      <c r="P38" t="str">
        <f>"Q"&amp;ROUNDUP(MONTH(Table1[[#This Row],[Order Date]])/3,0)</f>
        <v>Q2</v>
      </c>
      <c r="Q38" s="3">
        <f>Table1[[#This Row],[Profit]]/Table1[[#This Row],[Sales]]</f>
        <v>0.27262169194643648</v>
      </c>
      <c r="R38" t="str">
        <f>IF(Table1[[#This Row],[Sales]]&lt;1000,"LOW",IF(Table1[[#This Row],[Sales]]&lt;5000,"MEDIUM","HIGH"))</f>
        <v>HIGH</v>
      </c>
      <c r="S38" s="2">
        <f>Table1[[#This Row],[Discount]]/100</f>
        <v>0</v>
      </c>
    </row>
    <row r="39" spans="1:19" x14ac:dyDescent="0.3">
      <c r="A39">
        <v>10038</v>
      </c>
      <c r="B39" s="1" t="s">
        <v>128</v>
      </c>
      <c r="C39" t="s">
        <v>129</v>
      </c>
      <c r="D39" t="s">
        <v>66</v>
      </c>
      <c r="E39" t="s">
        <v>16</v>
      </c>
      <c r="F39" t="s">
        <v>25</v>
      </c>
      <c r="G39" t="s">
        <v>26</v>
      </c>
      <c r="H39" t="s">
        <v>48</v>
      </c>
      <c r="I39">
        <v>1</v>
      </c>
      <c r="J39">
        <v>2385.4499999999998</v>
      </c>
      <c r="K39">
        <v>535.27</v>
      </c>
      <c r="L39">
        <v>5</v>
      </c>
      <c r="M39" t="s">
        <v>49</v>
      </c>
      <c r="N39" t="str">
        <f>TEXT(Table1[[#This Row],[Order Date]],"MMMM")</f>
        <v>November</v>
      </c>
      <c r="O39">
        <f>YEAR(Table1[[#This Row],[Order Date]])</f>
        <v>2025</v>
      </c>
      <c r="P39" t="str">
        <f>"Q"&amp;ROUNDUP(MONTH(Table1[[#This Row],[Order Date]])/3,0)</f>
        <v>Q4</v>
      </c>
      <c r="Q39" s="3">
        <f>Table1[[#This Row],[Profit]]/Table1[[#This Row],[Sales]]</f>
        <v>0.22438952818126559</v>
      </c>
      <c r="R39" t="str">
        <f>IF(Table1[[#This Row],[Sales]]&lt;1000,"LOW",IF(Table1[[#This Row],[Sales]]&lt;5000,"MEDIUM","HIGH"))</f>
        <v>MEDIUM</v>
      </c>
      <c r="S39" s="2">
        <f>Table1[[#This Row],[Discount]]/100</f>
        <v>0.05</v>
      </c>
    </row>
    <row r="40" spans="1:19" x14ac:dyDescent="0.3">
      <c r="A40">
        <v>10039</v>
      </c>
      <c r="B40" s="1" t="s">
        <v>130</v>
      </c>
      <c r="C40" t="s">
        <v>47</v>
      </c>
      <c r="D40" t="s">
        <v>74</v>
      </c>
      <c r="E40" t="s">
        <v>74</v>
      </c>
      <c r="F40" t="s">
        <v>17</v>
      </c>
      <c r="G40" t="s">
        <v>75</v>
      </c>
      <c r="H40" t="s">
        <v>76</v>
      </c>
      <c r="I40">
        <v>1</v>
      </c>
      <c r="J40">
        <v>2754.4</v>
      </c>
      <c r="K40">
        <v>407.16</v>
      </c>
      <c r="L40">
        <v>20</v>
      </c>
      <c r="M40" t="s">
        <v>28</v>
      </c>
      <c r="N40" t="str">
        <f>TEXT(Table1[[#This Row],[Order Date]],"MMMM")</f>
        <v>July</v>
      </c>
      <c r="O40">
        <f>YEAR(Table1[[#This Row],[Order Date]])</f>
        <v>2025</v>
      </c>
      <c r="P40" t="str">
        <f>"Q"&amp;ROUNDUP(MONTH(Table1[[#This Row],[Order Date]])/3,0)</f>
        <v>Q3</v>
      </c>
      <c r="Q40" s="3">
        <f>Table1[[#This Row],[Profit]]/Table1[[#This Row],[Sales]]</f>
        <v>0.14782166715074063</v>
      </c>
      <c r="R40" t="str">
        <f>IF(Table1[[#This Row],[Sales]]&lt;1000,"LOW",IF(Table1[[#This Row],[Sales]]&lt;5000,"MEDIUM","HIGH"))</f>
        <v>MEDIUM</v>
      </c>
      <c r="S40" s="2">
        <f>Table1[[#This Row],[Discount]]/100</f>
        <v>0.2</v>
      </c>
    </row>
    <row r="41" spans="1:19" x14ac:dyDescent="0.3">
      <c r="A41">
        <v>10040</v>
      </c>
      <c r="B41" s="1" t="s">
        <v>131</v>
      </c>
      <c r="C41" t="s">
        <v>47</v>
      </c>
      <c r="D41" t="s">
        <v>60</v>
      </c>
      <c r="E41" t="s">
        <v>61</v>
      </c>
      <c r="F41" t="s">
        <v>17</v>
      </c>
      <c r="G41" t="s">
        <v>75</v>
      </c>
      <c r="H41" t="s">
        <v>76</v>
      </c>
      <c r="I41">
        <v>8</v>
      </c>
      <c r="J41">
        <v>6724.8</v>
      </c>
      <c r="K41">
        <v>725.24</v>
      </c>
      <c r="L41">
        <v>10</v>
      </c>
      <c r="M41" t="s">
        <v>49</v>
      </c>
      <c r="N41" t="str">
        <f>TEXT(Table1[[#This Row],[Order Date]],"MMMM")</f>
        <v>January</v>
      </c>
      <c r="O41">
        <f>YEAR(Table1[[#This Row],[Order Date]])</f>
        <v>2025</v>
      </c>
      <c r="P41" t="str">
        <f>"Q"&amp;ROUNDUP(MONTH(Table1[[#This Row],[Order Date]])/3,0)</f>
        <v>Q1</v>
      </c>
      <c r="Q41" s="3">
        <f>Table1[[#This Row],[Profit]]/Table1[[#This Row],[Sales]]</f>
        <v>0.10784558648584344</v>
      </c>
      <c r="R41" t="str">
        <f>IF(Table1[[#This Row],[Sales]]&lt;1000,"LOW",IF(Table1[[#This Row],[Sales]]&lt;5000,"MEDIUM","HIGH"))</f>
        <v>HIGH</v>
      </c>
      <c r="S41" s="2">
        <f>Table1[[#This Row],[Discount]]/100</f>
        <v>0.1</v>
      </c>
    </row>
    <row r="42" spans="1:19" x14ac:dyDescent="0.3">
      <c r="A42">
        <v>10041</v>
      </c>
      <c r="B42" s="1" t="s">
        <v>132</v>
      </c>
      <c r="C42" t="s">
        <v>133</v>
      </c>
      <c r="D42" t="s">
        <v>52</v>
      </c>
      <c r="E42" t="s">
        <v>53</v>
      </c>
      <c r="F42" t="s">
        <v>31</v>
      </c>
      <c r="G42" t="s">
        <v>124</v>
      </c>
      <c r="H42" t="s">
        <v>125</v>
      </c>
      <c r="I42">
        <v>5</v>
      </c>
      <c r="J42">
        <v>15890.75</v>
      </c>
      <c r="K42">
        <v>1971.64</v>
      </c>
      <c r="L42">
        <v>15</v>
      </c>
      <c r="M42" t="s">
        <v>28</v>
      </c>
      <c r="N42" t="str">
        <f>TEXT(Table1[[#This Row],[Order Date]],"MMMM")</f>
        <v>October</v>
      </c>
      <c r="O42">
        <f>YEAR(Table1[[#This Row],[Order Date]])</f>
        <v>2025</v>
      </c>
      <c r="P42" t="str">
        <f>"Q"&amp;ROUNDUP(MONTH(Table1[[#This Row],[Order Date]])/3,0)</f>
        <v>Q4</v>
      </c>
      <c r="Q42" s="3">
        <f>Table1[[#This Row],[Profit]]/Table1[[#This Row],[Sales]]</f>
        <v>0.12407469754416878</v>
      </c>
      <c r="R42" t="str">
        <f>IF(Table1[[#This Row],[Sales]]&lt;1000,"LOW",IF(Table1[[#This Row],[Sales]]&lt;5000,"MEDIUM","HIGH"))</f>
        <v>HIGH</v>
      </c>
      <c r="S42" s="2">
        <f>Table1[[#This Row],[Discount]]/100</f>
        <v>0.15</v>
      </c>
    </row>
    <row r="43" spans="1:19" x14ac:dyDescent="0.3">
      <c r="A43">
        <v>10042</v>
      </c>
      <c r="B43" s="1" t="s">
        <v>134</v>
      </c>
      <c r="C43" t="s">
        <v>135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9085</v>
      </c>
      <c r="K43">
        <v>2094.06</v>
      </c>
      <c r="L43">
        <v>0</v>
      </c>
      <c r="M43" t="s">
        <v>28</v>
      </c>
      <c r="N43" t="str">
        <f>TEXT(Table1[[#This Row],[Order Date]],"MMMM")</f>
        <v>July</v>
      </c>
      <c r="O43">
        <f>YEAR(Table1[[#This Row],[Order Date]])</f>
        <v>2025</v>
      </c>
      <c r="P43" t="str">
        <f>"Q"&amp;ROUNDUP(MONTH(Table1[[#This Row],[Order Date]])/3,0)</f>
        <v>Q3</v>
      </c>
      <c r="Q43" s="3">
        <f>Table1[[#This Row],[Profit]]/Table1[[#This Row],[Sales]]</f>
        <v>0.23049642267473858</v>
      </c>
      <c r="R43" t="str">
        <f>IF(Table1[[#This Row],[Sales]]&lt;1000,"LOW",IF(Table1[[#This Row],[Sales]]&lt;5000,"MEDIUM","HIGH"))</f>
        <v>HIGH</v>
      </c>
      <c r="S43" s="2">
        <f>Table1[[#This Row],[Discount]]/100</f>
        <v>0</v>
      </c>
    </row>
    <row r="44" spans="1:19" x14ac:dyDescent="0.3">
      <c r="A44">
        <v>10043</v>
      </c>
      <c r="B44" s="1" t="s">
        <v>136</v>
      </c>
      <c r="C44" t="s">
        <v>137</v>
      </c>
      <c r="D44" t="s">
        <v>52</v>
      </c>
      <c r="E44" t="s">
        <v>53</v>
      </c>
      <c r="F44" t="s">
        <v>17</v>
      </c>
      <c r="G44" t="s">
        <v>18</v>
      </c>
      <c r="H44" t="s">
        <v>19</v>
      </c>
      <c r="I44">
        <v>8</v>
      </c>
      <c r="J44">
        <v>9651.2000000000007</v>
      </c>
      <c r="K44">
        <v>1050.6600000000001</v>
      </c>
      <c r="L44">
        <v>20</v>
      </c>
      <c r="M44" t="s">
        <v>49</v>
      </c>
      <c r="N44" t="str">
        <f>TEXT(Table1[[#This Row],[Order Date]],"MMMM")</f>
        <v>August</v>
      </c>
      <c r="O44">
        <f>YEAR(Table1[[#This Row],[Order Date]])</f>
        <v>2025</v>
      </c>
      <c r="P44" t="str">
        <f>"Q"&amp;ROUNDUP(MONTH(Table1[[#This Row],[Order Date]])/3,0)</f>
        <v>Q3</v>
      </c>
      <c r="Q44" s="3">
        <f>Table1[[#This Row],[Profit]]/Table1[[#This Row],[Sales]]</f>
        <v>0.10886314655172413</v>
      </c>
      <c r="R44" t="str">
        <f>IF(Table1[[#This Row],[Sales]]&lt;1000,"LOW",IF(Table1[[#This Row],[Sales]]&lt;5000,"MEDIUM","HIGH"))</f>
        <v>HIGH</v>
      </c>
      <c r="S44" s="2">
        <f>Table1[[#This Row],[Discount]]/100</f>
        <v>0.2</v>
      </c>
    </row>
    <row r="45" spans="1:19" x14ac:dyDescent="0.3">
      <c r="A45">
        <v>10044</v>
      </c>
      <c r="B45" s="1" t="s">
        <v>138</v>
      </c>
      <c r="C45" t="s">
        <v>139</v>
      </c>
      <c r="D45" t="s">
        <v>36</v>
      </c>
      <c r="E45" t="s">
        <v>37</v>
      </c>
      <c r="F45" t="s">
        <v>25</v>
      </c>
      <c r="G45" t="s">
        <v>26</v>
      </c>
      <c r="H45" t="s">
        <v>48</v>
      </c>
      <c r="I45">
        <v>6</v>
      </c>
      <c r="J45">
        <v>2988.6</v>
      </c>
      <c r="K45">
        <v>889.64</v>
      </c>
      <c r="L45">
        <v>15</v>
      </c>
      <c r="M45" t="s">
        <v>49</v>
      </c>
      <c r="N45" t="str">
        <f>TEXT(Table1[[#This Row],[Order Date]],"MMMM")</f>
        <v>January</v>
      </c>
      <c r="O45">
        <f>YEAR(Table1[[#This Row],[Order Date]])</f>
        <v>2025</v>
      </c>
      <c r="P45" t="str">
        <f>"Q"&amp;ROUNDUP(MONTH(Table1[[#This Row],[Order Date]])/3,0)</f>
        <v>Q1</v>
      </c>
      <c r="Q45" s="3">
        <f>Table1[[#This Row],[Profit]]/Table1[[#This Row],[Sales]]</f>
        <v>0.29767784246804524</v>
      </c>
      <c r="R45" t="str">
        <f>IF(Table1[[#This Row],[Sales]]&lt;1000,"LOW",IF(Table1[[#This Row],[Sales]]&lt;5000,"MEDIUM","HIGH"))</f>
        <v>MEDIUM</v>
      </c>
      <c r="S45" s="2">
        <f>Table1[[#This Row],[Discount]]/100</f>
        <v>0.15</v>
      </c>
    </row>
    <row r="46" spans="1:19" x14ac:dyDescent="0.3">
      <c r="A46">
        <v>10045</v>
      </c>
      <c r="B46" s="1" t="s">
        <v>140</v>
      </c>
      <c r="C46" t="s">
        <v>141</v>
      </c>
      <c r="D46" t="s">
        <v>15</v>
      </c>
      <c r="E46" t="s">
        <v>16</v>
      </c>
      <c r="F46" t="s">
        <v>17</v>
      </c>
      <c r="G46" t="s">
        <v>43</v>
      </c>
      <c r="H46" t="s">
        <v>44</v>
      </c>
      <c r="I46">
        <v>1</v>
      </c>
      <c r="J46">
        <v>3711.1</v>
      </c>
      <c r="K46">
        <v>847.54</v>
      </c>
      <c r="L46">
        <v>15</v>
      </c>
      <c r="M46" t="s">
        <v>45</v>
      </c>
      <c r="N46" t="str">
        <f>TEXT(Table1[[#This Row],[Order Date]],"MMMM")</f>
        <v>July</v>
      </c>
      <c r="O46">
        <f>YEAR(Table1[[#This Row],[Order Date]])</f>
        <v>2025</v>
      </c>
      <c r="P46" t="str">
        <f>"Q"&amp;ROUNDUP(MONTH(Table1[[#This Row],[Order Date]])/3,0)</f>
        <v>Q3</v>
      </c>
      <c r="Q46" s="3">
        <f>Table1[[#This Row],[Profit]]/Table1[[#This Row],[Sales]]</f>
        <v>0.22837972568780146</v>
      </c>
      <c r="R46" t="str">
        <f>IF(Table1[[#This Row],[Sales]]&lt;1000,"LOW",IF(Table1[[#This Row],[Sales]]&lt;5000,"MEDIUM","HIGH"))</f>
        <v>MEDIUM</v>
      </c>
      <c r="S46" s="2">
        <f>Table1[[#This Row],[Discount]]/100</f>
        <v>0.15</v>
      </c>
    </row>
    <row r="47" spans="1:19" x14ac:dyDescent="0.3">
      <c r="A47">
        <v>10046</v>
      </c>
      <c r="B47" s="1" t="s">
        <v>142</v>
      </c>
      <c r="C47" t="s">
        <v>94</v>
      </c>
      <c r="D47" t="s">
        <v>23</v>
      </c>
      <c r="E47" t="s">
        <v>24</v>
      </c>
      <c r="F47" t="s">
        <v>25</v>
      </c>
      <c r="G47" t="s">
        <v>26</v>
      </c>
      <c r="H47" t="s">
        <v>71</v>
      </c>
      <c r="I47">
        <v>3</v>
      </c>
      <c r="J47">
        <v>2994</v>
      </c>
      <c r="K47">
        <v>745.68</v>
      </c>
      <c r="L47">
        <v>0</v>
      </c>
      <c r="M47" t="s">
        <v>28</v>
      </c>
      <c r="N47" t="str">
        <f>TEXT(Table1[[#This Row],[Order Date]],"MMMM")</f>
        <v>October</v>
      </c>
      <c r="O47">
        <f>YEAR(Table1[[#This Row],[Order Date]])</f>
        <v>2025</v>
      </c>
      <c r="P47" t="str">
        <f>"Q"&amp;ROUNDUP(MONTH(Table1[[#This Row],[Order Date]])/3,0)</f>
        <v>Q4</v>
      </c>
      <c r="Q47" s="3">
        <f>Table1[[#This Row],[Profit]]/Table1[[#This Row],[Sales]]</f>
        <v>0.2490581162324649</v>
      </c>
      <c r="R47" t="str">
        <f>IF(Table1[[#This Row],[Sales]]&lt;1000,"LOW",IF(Table1[[#This Row],[Sales]]&lt;5000,"MEDIUM","HIGH"))</f>
        <v>MEDIUM</v>
      </c>
      <c r="S47" s="2">
        <f>Table1[[#This Row],[Discount]]/100</f>
        <v>0</v>
      </c>
    </row>
    <row r="48" spans="1:19" x14ac:dyDescent="0.3">
      <c r="A48">
        <v>10047</v>
      </c>
      <c r="B48" s="1" t="s">
        <v>143</v>
      </c>
      <c r="C48" t="s">
        <v>144</v>
      </c>
      <c r="D48" t="s">
        <v>52</v>
      </c>
      <c r="E48" t="s">
        <v>53</v>
      </c>
      <c r="F48" t="s">
        <v>31</v>
      </c>
      <c r="G48" t="s">
        <v>89</v>
      </c>
      <c r="H48" t="s">
        <v>90</v>
      </c>
      <c r="I48">
        <v>2</v>
      </c>
      <c r="J48">
        <v>194.4</v>
      </c>
      <c r="K48">
        <v>38.590000000000003</v>
      </c>
      <c r="L48">
        <v>10</v>
      </c>
      <c r="M48" t="s">
        <v>28</v>
      </c>
      <c r="N48" t="str">
        <f>TEXT(Table1[[#This Row],[Order Date]],"MMMM")</f>
        <v>September</v>
      </c>
      <c r="O48">
        <f>YEAR(Table1[[#This Row],[Order Date]])</f>
        <v>2025</v>
      </c>
      <c r="P48" t="str">
        <f>"Q"&amp;ROUNDUP(MONTH(Table1[[#This Row],[Order Date]])/3,0)</f>
        <v>Q3</v>
      </c>
      <c r="Q48" s="3">
        <f>Table1[[#This Row],[Profit]]/Table1[[#This Row],[Sales]]</f>
        <v>0.19850823045267491</v>
      </c>
      <c r="R48" t="str">
        <f>IF(Table1[[#This Row],[Sales]]&lt;1000,"LOW",IF(Table1[[#This Row],[Sales]]&lt;5000,"MEDIUM","HIGH"))</f>
        <v>LOW</v>
      </c>
      <c r="S48" s="2">
        <f>Table1[[#This Row],[Discount]]/100</f>
        <v>0.1</v>
      </c>
    </row>
    <row r="49" spans="1:19" x14ac:dyDescent="0.3">
      <c r="A49">
        <v>10048</v>
      </c>
      <c r="B49" s="1" t="s">
        <v>145</v>
      </c>
      <c r="C49" t="s">
        <v>146</v>
      </c>
      <c r="D49" t="s">
        <v>66</v>
      </c>
      <c r="E49" t="s">
        <v>16</v>
      </c>
      <c r="F49" t="s">
        <v>31</v>
      </c>
      <c r="G49" t="s">
        <v>38</v>
      </c>
      <c r="H49" t="s">
        <v>39</v>
      </c>
      <c r="I49">
        <v>1</v>
      </c>
      <c r="J49">
        <v>3480.3</v>
      </c>
      <c r="K49">
        <v>978.14</v>
      </c>
      <c r="L49">
        <v>10</v>
      </c>
      <c r="M49" t="s">
        <v>40</v>
      </c>
      <c r="N49" t="str">
        <f>TEXT(Table1[[#This Row],[Order Date]],"MMMM")</f>
        <v>July</v>
      </c>
      <c r="O49">
        <f>YEAR(Table1[[#This Row],[Order Date]])</f>
        <v>2025</v>
      </c>
      <c r="P49" t="str">
        <f>"Q"&amp;ROUNDUP(MONTH(Table1[[#This Row],[Order Date]])/3,0)</f>
        <v>Q3</v>
      </c>
      <c r="Q49" s="3">
        <f>Table1[[#This Row],[Profit]]/Table1[[#This Row],[Sales]]</f>
        <v>0.2810504841536649</v>
      </c>
      <c r="R49" t="str">
        <f>IF(Table1[[#This Row],[Sales]]&lt;1000,"LOW",IF(Table1[[#This Row],[Sales]]&lt;5000,"MEDIUM","HIGH"))</f>
        <v>MEDIUM</v>
      </c>
      <c r="S49" s="2">
        <f>Table1[[#This Row],[Discount]]/100</f>
        <v>0.1</v>
      </c>
    </row>
    <row r="50" spans="1:19" x14ac:dyDescent="0.3">
      <c r="A50">
        <v>10049</v>
      </c>
      <c r="B50" s="1" t="s">
        <v>147</v>
      </c>
      <c r="C50" t="s">
        <v>148</v>
      </c>
      <c r="D50" t="s">
        <v>56</v>
      </c>
      <c r="E50" t="s">
        <v>57</v>
      </c>
      <c r="F50" t="s">
        <v>25</v>
      </c>
      <c r="G50" t="s">
        <v>26</v>
      </c>
      <c r="H50" t="s">
        <v>71</v>
      </c>
      <c r="I50">
        <v>7</v>
      </c>
      <c r="J50">
        <v>8170.4</v>
      </c>
      <c r="K50">
        <v>2153.15</v>
      </c>
      <c r="L50">
        <v>20</v>
      </c>
      <c r="M50" t="s">
        <v>20</v>
      </c>
      <c r="N50" t="str">
        <f>TEXT(Table1[[#This Row],[Order Date]],"MMMM")</f>
        <v>March</v>
      </c>
      <c r="O50">
        <f>YEAR(Table1[[#This Row],[Order Date]])</f>
        <v>2025</v>
      </c>
      <c r="P50" t="str">
        <f>"Q"&amp;ROUNDUP(MONTH(Table1[[#This Row],[Order Date]])/3,0)</f>
        <v>Q1</v>
      </c>
      <c r="Q50" s="3">
        <f>Table1[[#This Row],[Profit]]/Table1[[#This Row],[Sales]]</f>
        <v>0.26353054929991188</v>
      </c>
      <c r="R50" t="str">
        <f>IF(Table1[[#This Row],[Sales]]&lt;1000,"LOW",IF(Table1[[#This Row],[Sales]]&lt;5000,"MEDIUM","HIGH"))</f>
        <v>HIGH</v>
      </c>
      <c r="S50" s="2">
        <f>Table1[[#This Row],[Discount]]/100</f>
        <v>0.2</v>
      </c>
    </row>
    <row r="51" spans="1:19" x14ac:dyDescent="0.3">
      <c r="A51">
        <v>10050</v>
      </c>
      <c r="B51" s="1" t="s">
        <v>149</v>
      </c>
      <c r="C51" t="s">
        <v>150</v>
      </c>
      <c r="D51" t="s">
        <v>66</v>
      </c>
      <c r="E51" t="s">
        <v>16</v>
      </c>
      <c r="F51" t="s">
        <v>25</v>
      </c>
      <c r="G51" t="s">
        <v>26</v>
      </c>
      <c r="H51" t="s">
        <v>48</v>
      </c>
      <c r="I51">
        <v>1</v>
      </c>
      <c r="J51">
        <v>2074.8000000000002</v>
      </c>
      <c r="K51">
        <v>294.98</v>
      </c>
      <c r="L51">
        <v>5</v>
      </c>
      <c r="M51" t="s">
        <v>28</v>
      </c>
      <c r="N51" t="str">
        <f>TEXT(Table1[[#This Row],[Order Date]],"MMMM")</f>
        <v>March</v>
      </c>
      <c r="O51">
        <f>YEAR(Table1[[#This Row],[Order Date]])</f>
        <v>2025</v>
      </c>
      <c r="P51" t="str">
        <f>"Q"&amp;ROUNDUP(MONTH(Table1[[#This Row],[Order Date]])/3,0)</f>
        <v>Q1</v>
      </c>
      <c r="Q51" s="3">
        <f>Table1[[#This Row],[Profit]]/Table1[[#This Row],[Sales]]</f>
        <v>0.14217273954116058</v>
      </c>
      <c r="R51" t="str">
        <f>IF(Table1[[#This Row],[Sales]]&lt;1000,"LOW",IF(Table1[[#This Row],[Sales]]&lt;5000,"MEDIUM","HIGH"))</f>
        <v>MEDIUM</v>
      </c>
      <c r="S51" s="2">
        <f>Table1[[#This Row],[Discount]]/100</f>
        <v>0.05</v>
      </c>
    </row>
    <row r="52" spans="1:19" x14ac:dyDescent="0.3">
      <c r="A52">
        <v>10051</v>
      </c>
      <c r="B52" s="1" t="s">
        <v>151</v>
      </c>
      <c r="C52" t="s">
        <v>152</v>
      </c>
      <c r="D52" t="s">
        <v>66</v>
      </c>
      <c r="E52" t="s">
        <v>16</v>
      </c>
      <c r="F52" t="s">
        <v>31</v>
      </c>
      <c r="G52" t="s">
        <v>89</v>
      </c>
      <c r="H52" t="s">
        <v>90</v>
      </c>
      <c r="I52">
        <v>7</v>
      </c>
      <c r="J52">
        <v>19304.95</v>
      </c>
      <c r="K52">
        <v>4375.2299999999996</v>
      </c>
      <c r="L52">
        <v>5</v>
      </c>
      <c r="M52" t="s">
        <v>49</v>
      </c>
      <c r="N52" t="str">
        <f>TEXT(Table1[[#This Row],[Order Date]],"MMMM")</f>
        <v>August</v>
      </c>
      <c r="O52">
        <f>YEAR(Table1[[#This Row],[Order Date]])</f>
        <v>2025</v>
      </c>
      <c r="P52" t="str">
        <f>"Q"&amp;ROUNDUP(MONTH(Table1[[#This Row],[Order Date]])/3,0)</f>
        <v>Q3</v>
      </c>
      <c r="Q52" s="3">
        <f>Table1[[#This Row],[Profit]]/Table1[[#This Row],[Sales]]</f>
        <v>0.22663772762944215</v>
      </c>
      <c r="R52" t="str">
        <f>IF(Table1[[#This Row],[Sales]]&lt;1000,"LOW",IF(Table1[[#This Row],[Sales]]&lt;5000,"MEDIUM","HIGH"))</f>
        <v>HIGH</v>
      </c>
      <c r="S52" s="2">
        <f>Table1[[#This Row],[Discount]]/100</f>
        <v>0.05</v>
      </c>
    </row>
    <row r="53" spans="1:19" x14ac:dyDescent="0.3">
      <c r="A53">
        <v>10052</v>
      </c>
      <c r="B53" s="1" t="s">
        <v>153</v>
      </c>
      <c r="C53" t="s">
        <v>154</v>
      </c>
      <c r="D53" t="s">
        <v>66</v>
      </c>
      <c r="E53" t="s">
        <v>16</v>
      </c>
      <c r="F53" t="s">
        <v>17</v>
      </c>
      <c r="G53" t="s">
        <v>75</v>
      </c>
      <c r="H53" t="s">
        <v>116</v>
      </c>
      <c r="I53">
        <v>2</v>
      </c>
      <c r="J53">
        <v>3438</v>
      </c>
      <c r="K53">
        <v>798.19</v>
      </c>
      <c r="L53">
        <v>10</v>
      </c>
      <c r="M53" t="s">
        <v>20</v>
      </c>
      <c r="N53" t="str">
        <f>TEXT(Table1[[#This Row],[Order Date]],"MMMM")</f>
        <v>August</v>
      </c>
      <c r="O53">
        <f>YEAR(Table1[[#This Row],[Order Date]])</f>
        <v>2025</v>
      </c>
      <c r="P53" t="str">
        <f>"Q"&amp;ROUNDUP(MONTH(Table1[[#This Row],[Order Date]])/3,0)</f>
        <v>Q3</v>
      </c>
      <c r="Q53" s="3">
        <f>Table1[[#This Row],[Profit]]/Table1[[#This Row],[Sales]]</f>
        <v>0.23216695753344971</v>
      </c>
      <c r="R53" t="str">
        <f>IF(Table1[[#This Row],[Sales]]&lt;1000,"LOW",IF(Table1[[#This Row],[Sales]]&lt;5000,"MEDIUM","HIGH"))</f>
        <v>MEDIUM</v>
      </c>
      <c r="S53" s="2">
        <f>Table1[[#This Row],[Discount]]/100</f>
        <v>0.1</v>
      </c>
    </row>
    <row r="54" spans="1:19" x14ac:dyDescent="0.3">
      <c r="A54">
        <v>10053</v>
      </c>
      <c r="B54" s="1" t="s">
        <v>155</v>
      </c>
      <c r="C54" t="s">
        <v>156</v>
      </c>
      <c r="D54" t="s">
        <v>74</v>
      </c>
      <c r="E54" t="s">
        <v>74</v>
      </c>
      <c r="F54" t="s">
        <v>17</v>
      </c>
      <c r="G54" t="s">
        <v>75</v>
      </c>
      <c r="H54" t="s">
        <v>116</v>
      </c>
      <c r="I54">
        <v>4</v>
      </c>
      <c r="J54">
        <v>8933.7999999999993</v>
      </c>
      <c r="K54">
        <v>1996.53</v>
      </c>
      <c r="L54">
        <v>5</v>
      </c>
      <c r="M54" t="s">
        <v>45</v>
      </c>
      <c r="N54" t="str">
        <f>TEXT(Table1[[#This Row],[Order Date]],"MMMM")</f>
        <v>May</v>
      </c>
      <c r="O54">
        <f>YEAR(Table1[[#This Row],[Order Date]])</f>
        <v>2025</v>
      </c>
      <c r="P54" t="str">
        <f>"Q"&amp;ROUNDUP(MONTH(Table1[[#This Row],[Order Date]])/3,0)</f>
        <v>Q2</v>
      </c>
      <c r="Q54" s="3">
        <f>Table1[[#This Row],[Profit]]/Table1[[#This Row],[Sales]]</f>
        <v>0.22348048982515839</v>
      </c>
      <c r="R54" t="str">
        <f>IF(Table1[[#This Row],[Sales]]&lt;1000,"LOW",IF(Table1[[#This Row],[Sales]]&lt;5000,"MEDIUM","HIGH"))</f>
        <v>HIGH</v>
      </c>
      <c r="S54" s="2">
        <f>Table1[[#This Row],[Discount]]/100</f>
        <v>0.05</v>
      </c>
    </row>
    <row r="55" spans="1:19" x14ac:dyDescent="0.3">
      <c r="A55">
        <v>10054</v>
      </c>
      <c r="B55" s="1" t="s">
        <v>157</v>
      </c>
      <c r="C55" t="s">
        <v>158</v>
      </c>
      <c r="D55" t="s">
        <v>74</v>
      </c>
      <c r="E55" t="s">
        <v>74</v>
      </c>
      <c r="F55" t="s">
        <v>31</v>
      </c>
      <c r="G55" t="s">
        <v>38</v>
      </c>
      <c r="H55" t="s">
        <v>39</v>
      </c>
      <c r="I55">
        <v>2</v>
      </c>
      <c r="J55">
        <v>6679.3</v>
      </c>
      <c r="K55">
        <v>737.36</v>
      </c>
      <c r="L55">
        <v>15</v>
      </c>
      <c r="M55" t="s">
        <v>49</v>
      </c>
      <c r="N55" t="str">
        <f>TEXT(Table1[[#This Row],[Order Date]],"MMMM")</f>
        <v>June</v>
      </c>
      <c r="O55">
        <f>YEAR(Table1[[#This Row],[Order Date]])</f>
        <v>2025</v>
      </c>
      <c r="P55" t="str">
        <f>"Q"&amp;ROUNDUP(MONTH(Table1[[#This Row],[Order Date]])/3,0)</f>
        <v>Q2</v>
      </c>
      <c r="Q55" s="3">
        <f>Table1[[#This Row],[Profit]]/Table1[[#This Row],[Sales]]</f>
        <v>0.11039480185049332</v>
      </c>
      <c r="R55" t="str">
        <f>IF(Table1[[#This Row],[Sales]]&lt;1000,"LOW",IF(Table1[[#This Row],[Sales]]&lt;5000,"MEDIUM","HIGH"))</f>
        <v>HIGH</v>
      </c>
      <c r="S55" s="2">
        <f>Table1[[#This Row],[Discount]]/100</f>
        <v>0.15</v>
      </c>
    </row>
    <row r="56" spans="1:19" x14ac:dyDescent="0.3">
      <c r="A56">
        <v>10055</v>
      </c>
      <c r="B56" s="1" t="s">
        <v>159</v>
      </c>
      <c r="C56" t="s">
        <v>160</v>
      </c>
      <c r="D56" t="s">
        <v>74</v>
      </c>
      <c r="E56" t="s">
        <v>74</v>
      </c>
      <c r="F56" t="s">
        <v>17</v>
      </c>
      <c r="G56" t="s">
        <v>43</v>
      </c>
      <c r="H56" t="s">
        <v>44</v>
      </c>
      <c r="I56">
        <v>7</v>
      </c>
      <c r="J56">
        <v>29691.9</v>
      </c>
      <c r="K56">
        <v>2825.09</v>
      </c>
      <c r="L56">
        <v>10</v>
      </c>
      <c r="M56" t="s">
        <v>45</v>
      </c>
      <c r="N56" t="str">
        <f>TEXT(Table1[[#This Row],[Order Date]],"MMMM")</f>
        <v>May</v>
      </c>
      <c r="O56">
        <f>YEAR(Table1[[#This Row],[Order Date]])</f>
        <v>2025</v>
      </c>
      <c r="P56" t="str">
        <f>"Q"&amp;ROUNDUP(MONTH(Table1[[#This Row],[Order Date]])/3,0)</f>
        <v>Q2</v>
      </c>
      <c r="Q56" s="3">
        <f>Table1[[#This Row],[Profit]]/Table1[[#This Row],[Sales]]</f>
        <v>9.5146824554844925E-2</v>
      </c>
      <c r="R56" t="str">
        <f>IF(Table1[[#This Row],[Sales]]&lt;1000,"LOW",IF(Table1[[#This Row],[Sales]]&lt;5000,"MEDIUM","HIGH"))</f>
        <v>HIGH</v>
      </c>
      <c r="S56" s="2">
        <f>Table1[[#This Row],[Discount]]/100</f>
        <v>0.1</v>
      </c>
    </row>
    <row r="57" spans="1:19" x14ac:dyDescent="0.3">
      <c r="A57">
        <v>10056</v>
      </c>
      <c r="B57" s="1" t="s">
        <v>161</v>
      </c>
      <c r="C57" t="s">
        <v>162</v>
      </c>
      <c r="D57" t="s">
        <v>15</v>
      </c>
      <c r="E57" t="s">
        <v>16</v>
      </c>
      <c r="F57" t="s">
        <v>31</v>
      </c>
      <c r="G57" t="s">
        <v>124</v>
      </c>
      <c r="H57" t="s">
        <v>125</v>
      </c>
      <c r="I57">
        <v>8</v>
      </c>
      <c r="J57">
        <v>12960</v>
      </c>
      <c r="K57">
        <v>3431.26</v>
      </c>
      <c r="L57">
        <v>10</v>
      </c>
      <c r="M57" t="s">
        <v>49</v>
      </c>
      <c r="N57" t="str">
        <f>TEXT(Table1[[#This Row],[Order Date]],"MMMM")</f>
        <v>November</v>
      </c>
      <c r="O57">
        <f>YEAR(Table1[[#This Row],[Order Date]])</f>
        <v>2025</v>
      </c>
      <c r="P57" t="str">
        <f>"Q"&amp;ROUNDUP(MONTH(Table1[[#This Row],[Order Date]])/3,0)</f>
        <v>Q4</v>
      </c>
      <c r="Q57" s="3">
        <f>Table1[[#This Row],[Profit]]/Table1[[#This Row],[Sales]]</f>
        <v>0.26475771604938275</v>
      </c>
      <c r="R57" t="str">
        <f>IF(Table1[[#This Row],[Sales]]&lt;1000,"LOW",IF(Table1[[#This Row],[Sales]]&lt;5000,"MEDIUM","HIGH"))</f>
        <v>HIGH</v>
      </c>
      <c r="S57" s="2">
        <f>Table1[[#This Row],[Discount]]/100</f>
        <v>0.1</v>
      </c>
    </row>
    <row r="58" spans="1:19" x14ac:dyDescent="0.3">
      <c r="A58">
        <v>10057</v>
      </c>
      <c r="B58" s="1" t="s">
        <v>163</v>
      </c>
      <c r="C58" t="s">
        <v>22</v>
      </c>
      <c r="D58" t="s">
        <v>60</v>
      </c>
      <c r="E58" t="s">
        <v>61</v>
      </c>
      <c r="F58" t="s">
        <v>17</v>
      </c>
      <c r="G58" t="s">
        <v>75</v>
      </c>
      <c r="H58" t="s">
        <v>116</v>
      </c>
      <c r="I58">
        <v>8</v>
      </c>
      <c r="J58">
        <v>37336</v>
      </c>
      <c r="K58">
        <v>9255.8700000000008</v>
      </c>
      <c r="L58">
        <v>0</v>
      </c>
      <c r="M58" t="s">
        <v>20</v>
      </c>
      <c r="N58" t="str">
        <f>TEXT(Table1[[#This Row],[Order Date]],"MMMM")</f>
        <v>April</v>
      </c>
      <c r="O58">
        <f>YEAR(Table1[[#This Row],[Order Date]])</f>
        <v>2025</v>
      </c>
      <c r="P58" t="str">
        <f>"Q"&amp;ROUNDUP(MONTH(Table1[[#This Row],[Order Date]])/3,0)</f>
        <v>Q2</v>
      </c>
      <c r="Q58" s="3">
        <f>Table1[[#This Row],[Profit]]/Table1[[#This Row],[Sales]]</f>
        <v>0.24790738161559892</v>
      </c>
      <c r="R58" t="str">
        <f>IF(Table1[[#This Row],[Sales]]&lt;1000,"LOW",IF(Table1[[#This Row],[Sales]]&lt;5000,"MEDIUM","HIGH"))</f>
        <v>HIGH</v>
      </c>
      <c r="S58" s="2">
        <f>Table1[[#This Row],[Discount]]/100</f>
        <v>0</v>
      </c>
    </row>
    <row r="59" spans="1:19" x14ac:dyDescent="0.3">
      <c r="A59">
        <v>10058</v>
      </c>
      <c r="B59" s="1" t="s">
        <v>164</v>
      </c>
      <c r="C59" t="s">
        <v>152</v>
      </c>
      <c r="D59" t="s">
        <v>66</v>
      </c>
      <c r="E59" t="s">
        <v>16</v>
      </c>
      <c r="F59" t="s">
        <v>31</v>
      </c>
      <c r="G59" t="s">
        <v>89</v>
      </c>
      <c r="H59" t="s">
        <v>90</v>
      </c>
      <c r="I59">
        <v>6</v>
      </c>
      <c r="J59">
        <v>20252.099999999999</v>
      </c>
      <c r="K59">
        <v>5153.0600000000004</v>
      </c>
      <c r="L59">
        <v>15</v>
      </c>
      <c r="M59" t="s">
        <v>49</v>
      </c>
      <c r="N59" t="str">
        <f>TEXT(Table1[[#This Row],[Order Date]],"MMMM")</f>
        <v>October</v>
      </c>
      <c r="O59">
        <f>YEAR(Table1[[#This Row],[Order Date]])</f>
        <v>2025</v>
      </c>
      <c r="P59" t="str">
        <f>"Q"&amp;ROUNDUP(MONTH(Table1[[#This Row],[Order Date]])/3,0)</f>
        <v>Q4</v>
      </c>
      <c r="Q59" s="3">
        <f>Table1[[#This Row],[Profit]]/Table1[[#This Row],[Sales]]</f>
        <v>0.25444571180272668</v>
      </c>
      <c r="R59" t="str">
        <f>IF(Table1[[#This Row],[Sales]]&lt;1000,"LOW",IF(Table1[[#This Row],[Sales]]&lt;5000,"MEDIUM","HIGH"))</f>
        <v>HIGH</v>
      </c>
      <c r="S59" s="2">
        <f>Table1[[#This Row],[Discount]]/100</f>
        <v>0.15</v>
      </c>
    </row>
    <row r="60" spans="1:19" x14ac:dyDescent="0.3">
      <c r="A60">
        <v>10059</v>
      </c>
      <c r="B60" s="1" t="s">
        <v>165</v>
      </c>
      <c r="C60" t="s">
        <v>166</v>
      </c>
      <c r="D60" t="s">
        <v>15</v>
      </c>
      <c r="E60" t="s">
        <v>16</v>
      </c>
      <c r="F60" t="s">
        <v>31</v>
      </c>
      <c r="G60" t="s">
        <v>89</v>
      </c>
      <c r="H60" t="s">
        <v>90</v>
      </c>
      <c r="I60">
        <v>8</v>
      </c>
      <c r="J60">
        <v>18414.400000000001</v>
      </c>
      <c r="K60">
        <v>2837.75</v>
      </c>
      <c r="L60">
        <v>15</v>
      </c>
      <c r="M60" t="s">
        <v>49</v>
      </c>
      <c r="N60" t="str">
        <f>TEXT(Table1[[#This Row],[Order Date]],"MMMM")</f>
        <v>January</v>
      </c>
      <c r="O60">
        <f>YEAR(Table1[[#This Row],[Order Date]])</f>
        <v>2025</v>
      </c>
      <c r="P60" t="str">
        <f>"Q"&amp;ROUNDUP(MONTH(Table1[[#This Row],[Order Date]])/3,0)</f>
        <v>Q1</v>
      </c>
      <c r="Q60" s="3">
        <f>Table1[[#This Row],[Profit]]/Table1[[#This Row],[Sales]]</f>
        <v>0.15410493961247718</v>
      </c>
      <c r="R60" t="str">
        <f>IF(Table1[[#This Row],[Sales]]&lt;1000,"LOW",IF(Table1[[#This Row],[Sales]]&lt;5000,"MEDIUM","HIGH"))</f>
        <v>HIGH</v>
      </c>
      <c r="S60" s="2">
        <f>Table1[[#This Row],[Discount]]/100</f>
        <v>0.15</v>
      </c>
    </row>
    <row r="61" spans="1:19" x14ac:dyDescent="0.3">
      <c r="A61">
        <v>10060</v>
      </c>
      <c r="B61" s="1" t="s">
        <v>167</v>
      </c>
      <c r="C61" t="s">
        <v>168</v>
      </c>
      <c r="D61" t="s">
        <v>36</v>
      </c>
      <c r="E61" t="s">
        <v>37</v>
      </c>
      <c r="F61" t="s">
        <v>25</v>
      </c>
      <c r="G61" t="s">
        <v>95</v>
      </c>
      <c r="H61" t="s">
        <v>96</v>
      </c>
      <c r="I61">
        <v>2</v>
      </c>
      <c r="J61">
        <v>5203.2</v>
      </c>
      <c r="K61">
        <v>1126.23</v>
      </c>
      <c r="L61">
        <v>20</v>
      </c>
      <c r="M61" t="s">
        <v>49</v>
      </c>
      <c r="N61" t="str">
        <f>TEXT(Table1[[#This Row],[Order Date]],"MMMM")</f>
        <v>September</v>
      </c>
      <c r="O61">
        <f>YEAR(Table1[[#This Row],[Order Date]])</f>
        <v>2025</v>
      </c>
      <c r="P61" t="str">
        <f>"Q"&amp;ROUNDUP(MONTH(Table1[[#This Row],[Order Date]])/3,0)</f>
        <v>Q3</v>
      </c>
      <c r="Q61" s="3">
        <f>Table1[[#This Row],[Profit]]/Table1[[#This Row],[Sales]]</f>
        <v>0.21644949261992621</v>
      </c>
      <c r="R61" t="str">
        <f>IF(Table1[[#This Row],[Sales]]&lt;1000,"LOW",IF(Table1[[#This Row],[Sales]]&lt;5000,"MEDIUM","HIGH"))</f>
        <v>HIGH</v>
      </c>
      <c r="S61" s="2">
        <f>Table1[[#This Row],[Discount]]/100</f>
        <v>0.2</v>
      </c>
    </row>
    <row r="62" spans="1:19" x14ac:dyDescent="0.3">
      <c r="A62">
        <v>10061</v>
      </c>
      <c r="B62" s="1" t="s">
        <v>62</v>
      </c>
      <c r="C62" t="s">
        <v>169</v>
      </c>
      <c r="D62" t="s">
        <v>36</v>
      </c>
      <c r="E62" t="s">
        <v>37</v>
      </c>
      <c r="F62" t="s">
        <v>25</v>
      </c>
      <c r="G62" t="s">
        <v>95</v>
      </c>
      <c r="H62" t="s">
        <v>96</v>
      </c>
      <c r="I62">
        <v>1</v>
      </c>
      <c r="J62">
        <v>1647.9</v>
      </c>
      <c r="K62">
        <v>471.22</v>
      </c>
      <c r="L62">
        <v>10</v>
      </c>
      <c r="M62" t="s">
        <v>49</v>
      </c>
      <c r="N62" t="str">
        <f>TEXT(Table1[[#This Row],[Order Date]],"MMMM")</f>
        <v>May</v>
      </c>
      <c r="O62">
        <f>YEAR(Table1[[#This Row],[Order Date]])</f>
        <v>2025</v>
      </c>
      <c r="P62" t="str">
        <f>"Q"&amp;ROUNDUP(MONTH(Table1[[#This Row],[Order Date]])/3,0)</f>
        <v>Q2</v>
      </c>
      <c r="Q62" s="3">
        <f>Table1[[#This Row],[Profit]]/Table1[[#This Row],[Sales]]</f>
        <v>0.28595181746465198</v>
      </c>
      <c r="R62" t="str">
        <f>IF(Table1[[#This Row],[Sales]]&lt;1000,"LOW",IF(Table1[[#This Row],[Sales]]&lt;5000,"MEDIUM","HIGH"))</f>
        <v>MEDIUM</v>
      </c>
      <c r="S62" s="2">
        <f>Table1[[#This Row],[Discount]]/100</f>
        <v>0.1</v>
      </c>
    </row>
    <row r="63" spans="1:19" x14ac:dyDescent="0.3">
      <c r="A63">
        <v>10062</v>
      </c>
      <c r="B63" s="1" t="s">
        <v>170</v>
      </c>
      <c r="C63" t="s">
        <v>152</v>
      </c>
      <c r="D63" t="s">
        <v>15</v>
      </c>
      <c r="E63" t="s">
        <v>16</v>
      </c>
      <c r="F63" t="s">
        <v>17</v>
      </c>
      <c r="G63" t="s">
        <v>43</v>
      </c>
      <c r="H63" t="s">
        <v>44</v>
      </c>
      <c r="I63">
        <v>7</v>
      </c>
      <c r="J63">
        <v>25407.200000000001</v>
      </c>
      <c r="K63">
        <v>7002.73</v>
      </c>
      <c r="L63">
        <v>20</v>
      </c>
      <c r="M63" t="s">
        <v>49</v>
      </c>
      <c r="N63" t="str">
        <f>TEXT(Table1[[#This Row],[Order Date]],"MMMM")</f>
        <v>February</v>
      </c>
      <c r="O63">
        <f>YEAR(Table1[[#This Row],[Order Date]])</f>
        <v>2025</v>
      </c>
      <c r="P63" t="str">
        <f>"Q"&amp;ROUNDUP(MONTH(Table1[[#This Row],[Order Date]])/3,0)</f>
        <v>Q1</v>
      </c>
      <c r="Q63" s="3">
        <f>Table1[[#This Row],[Profit]]/Table1[[#This Row],[Sales]]</f>
        <v>0.27561990301961647</v>
      </c>
      <c r="R63" t="str">
        <f>IF(Table1[[#This Row],[Sales]]&lt;1000,"LOW",IF(Table1[[#This Row],[Sales]]&lt;5000,"MEDIUM","HIGH"))</f>
        <v>HIGH</v>
      </c>
      <c r="S63" s="2">
        <f>Table1[[#This Row],[Discount]]/100</f>
        <v>0.2</v>
      </c>
    </row>
    <row r="64" spans="1:19" x14ac:dyDescent="0.3">
      <c r="A64">
        <v>10063</v>
      </c>
      <c r="B64" s="1" t="s">
        <v>171</v>
      </c>
      <c r="C64" t="s">
        <v>172</v>
      </c>
      <c r="D64" t="s">
        <v>36</v>
      </c>
      <c r="E64" t="s">
        <v>37</v>
      </c>
      <c r="F64" t="s">
        <v>31</v>
      </c>
      <c r="G64" t="s">
        <v>89</v>
      </c>
      <c r="H64" t="s">
        <v>90</v>
      </c>
      <c r="I64">
        <v>4</v>
      </c>
      <c r="J64">
        <v>2010.2</v>
      </c>
      <c r="K64">
        <v>518.52</v>
      </c>
      <c r="L64">
        <v>5</v>
      </c>
      <c r="M64" t="s">
        <v>40</v>
      </c>
      <c r="N64" t="str">
        <f>TEXT(Table1[[#This Row],[Order Date]],"MMMM")</f>
        <v>August</v>
      </c>
      <c r="O64">
        <f>YEAR(Table1[[#This Row],[Order Date]])</f>
        <v>2025</v>
      </c>
      <c r="P64" t="str">
        <f>"Q"&amp;ROUNDUP(MONTH(Table1[[#This Row],[Order Date]])/3,0)</f>
        <v>Q3</v>
      </c>
      <c r="Q64" s="3">
        <f>Table1[[#This Row],[Profit]]/Table1[[#This Row],[Sales]]</f>
        <v>0.25794448313600638</v>
      </c>
      <c r="R64" t="str">
        <f>IF(Table1[[#This Row],[Sales]]&lt;1000,"LOW",IF(Table1[[#This Row],[Sales]]&lt;5000,"MEDIUM","HIGH"))</f>
        <v>MEDIUM</v>
      </c>
      <c r="S64" s="2">
        <f>Table1[[#This Row],[Discount]]/100</f>
        <v>0.05</v>
      </c>
    </row>
    <row r="65" spans="1:19" x14ac:dyDescent="0.3">
      <c r="A65">
        <v>10064</v>
      </c>
      <c r="B65" s="1" t="s">
        <v>173</v>
      </c>
      <c r="C65" t="s">
        <v>73</v>
      </c>
      <c r="D65" t="s">
        <v>23</v>
      </c>
      <c r="E65" t="s">
        <v>24</v>
      </c>
      <c r="F65" t="s">
        <v>31</v>
      </c>
      <c r="G65" t="s">
        <v>38</v>
      </c>
      <c r="H65" t="s">
        <v>39</v>
      </c>
      <c r="I65">
        <v>6</v>
      </c>
      <c r="J65">
        <v>11422.8</v>
      </c>
      <c r="K65">
        <v>3351.32</v>
      </c>
      <c r="L65">
        <v>5</v>
      </c>
      <c r="M65" t="s">
        <v>28</v>
      </c>
      <c r="N65" t="str">
        <f>TEXT(Table1[[#This Row],[Order Date]],"MMMM")</f>
        <v>August</v>
      </c>
      <c r="O65">
        <f>YEAR(Table1[[#This Row],[Order Date]])</f>
        <v>2025</v>
      </c>
      <c r="P65" t="str">
        <f>"Q"&amp;ROUNDUP(MONTH(Table1[[#This Row],[Order Date]])/3,0)</f>
        <v>Q3</v>
      </c>
      <c r="Q65" s="3">
        <f>Table1[[#This Row],[Profit]]/Table1[[#This Row],[Sales]]</f>
        <v>0.29338866127394336</v>
      </c>
      <c r="R65" t="str">
        <f>IF(Table1[[#This Row],[Sales]]&lt;1000,"LOW",IF(Table1[[#This Row],[Sales]]&lt;5000,"MEDIUM","HIGH"))</f>
        <v>HIGH</v>
      </c>
      <c r="S65" s="2">
        <f>Table1[[#This Row],[Discount]]/100</f>
        <v>0.05</v>
      </c>
    </row>
    <row r="66" spans="1:19" x14ac:dyDescent="0.3">
      <c r="A66">
        <v>10065</v>
      </c>
      <c r="B66" s="1" t="s">
        <v>67</v>
      </c>
      <c r="C66" t="s">
        <v>174</v>
      </c>
      <c r="D66" t="s">
        <v>60</v>
      </c>
      <c r="E66" t="s">
        <v>61</v>
      </c>
      <c r="F66" t="s">
        <v>17</v>
      </c>
      <c r="G66" t="s">
        <v>18</v>
      </c>
      <c r="H66" t="s">
        <v>19</v>
      </c>
      <c r="I66">
        <v>2</v>
      </c>
      <c r="J66">
        <v>170</v>
      </c>
      <c r="K66">
        <v>24.51</v>
      </c>
      <c r="L66">
        <v>15</v>
      </c>
      <c r="M66" t="s">
        <v>49</v>
      </c>
      <c r="N66" t="str">
        <f>TEXT(Table1[[#This Row],[Order Date]],"MMMM")</f>
        <v>October</v>
      </c>
      <c r="O66">
        <f>YEAR(Table1[[#This Row],[Order Date]])</f>
        <v>2025</v>
      </c>
      <c r="P66" t="str">
        <f>"Q"&amp;ROUNDUP(MONTH(Table1[[#This Row],[Order Date]])/3,0)</f>
        <v>Q4</v>
      </c>
      <c r="Q66" s="3">
        <f>Table1[[#This Row],[Profit]]/Table1[[#This Row],[Sales]]</f>
        <v>0.14417647058823529</v>
      </c>
      <c r="R66" t="str">
        <f>IF(Table1[[#This Row],[Sales]]&lt;1000,"LOW",IF(Table1[[#This Row],[Sales]]&lt;5000,"MEDIUM","HIGH"))</f>
        <v>LOW</v>
      </c>
      <c r="S66" s="2">
        <f>Table1[[#This Row],[Discount]]/100</f>
        <v>0.15</v>
      </c>
    </row>
    <row r="67" spans="1:19" x14ac:dyDescent="0.3">
      <c r="A67">
        <v>10066</v>
      </c>
      <c r="B67" s="1" t="s">
        <v>175</v>
      </c>
      <c r="C67" t="s">
        <v>121</v>
      </c>
      <c r="D67" t="s">
        <v>74</v>
      </c>
      <c r="E67" t="s">
        <v>74</v>
      </c>
      <c r="F67" t="s">
        <v>31</v>
      </c>
      <c r="G67" t="s">
        <v>124</v>
      </c>
      <c r="H67" t="s">
        <v>125</v>
      </c>
      <c r="I67">
        <v>8</v>
      </c>
      <c r="J67">
        <v>4399.6000000000004</v>
      </c>
      <c r="K67">
        <v>637.58000000000004</v>
      </c>
      <c r="L67">
        <v>15</v>
      </c>
      <c r="M67" t="s">
        <v>40</v>
      </c>
      <c r="N67" t="str">
        <f>TEXT(Table1[[#This Row],[Order Date]],"MMMM")</f>
        <v>January</v>
      </c>
      <c r="O67">
        <f>YEAR(Table1[[#This Row],[Order Date]])</f>
        <v>2025</v>
      </c>
      <c r="P67" t="str">
        <f>"Q"&amp;ROUNDUP(MONTH(Table1[[#This Row],[Order Date]])/3,0)</f>
        <v>Q1</v>
      </c>
      <c r="Q67" s="3">
        <f>Table1[[#This Row],[Profit]]/Table1[[#This Row],[Sales]]</f>
        <v>0.14491771979270843</v>
      </c>
      <c r="R67" t="str">
        <f>IF(Table1[[#This Row],[Sales]]&lt;1000,"LOW",IF(Table1[[#This Row],[Sales]]&lt;5000,"MEDIUM","HIGH"))</f>
        <v>MEDIUM</v>
      </c>
      <c r="S67" s="2">
        <f>Table1[[#This Row],[Discount]]/100</f>
        <v>0.15</v>
      </c>
    </row>
    <row r="68" spans="1:19" x14ac:dyDescent="0.3">
      <c r="A68">
        <v>10067</v>
      </c>
      <c r="B68" s="1" t="s">
        <v>176</v>
      </c>
      <c r="C68" t="s">
        <v>177</v>
      </c>
      <c r="D68" t="s">
        <v>23</v>
      </c>
      <c r="E68" t="s">
        <v>24</v>
      </c>
      <c r="F68" t="s">
        <v>17</v>
      </c>
      <c r="G68" t="s">
        <v>75</v>
      </c>
      <c r="H68" t="s">
        <v>76</v>
      </c>
      <c r="I68">
        <v>7</v>
      </c>
      <c r="J68">
        <v>2122.4</v>
      </c>
      <c r="K68">
        <v>513.37</v>
      </c>
      <c r="L68">
        <v>20</v>
      </c>
      <c r="M68" t="s">
        <v>20</v>
      </c>
      <c r="N68" t="str">
        <f>TEXT(Table1[[#This Row],[Order Date]],"MMMM")</f>
        <v>December</v>
      </c>
      <c r="O68">
        <f>YEAR(Table1[[#This Row],[Order Date]])</f>
        <v>2025</v>
      </c>
      <c r="P68" t="str">
        <f>"Q"&amp;ROUNDUP(MONTH(Table1[[#This Row],[Order Date]])/3,0)</f>
        <v>Q4</v>
      </c>
      <c r="Q68" s="3">
        <f>Table1[[#This Row],[Profit]]/Table1[[#This Row],[Sales]]</f>
        <v>0.24188183188842818</v>
      </c>
      <c r="R68" t="str">
        <f>IF(Table1[[#This Row],[Sales]]&lt;1000,"LOW",IF(Table1[[#This Row],[Sales]]&lt;5000,"MEDIUM","HIGH"))</f>
        <v>MEDIUM</v>
      </c>
      <c r="S68" s="2">
        <f>Table1[[#This Row],[Discount]]/100</f>
        <v>0.2</v>
      </c>
    </row>
    <row r="69" spans="1:19" x14ac:dyDescent="0.3">
      <c r="A69">
        <v>10068</v>
      </c>
      <c r="B69" s="1" t="s">
        <v>178</v>
      </c>
      <c r="C69" t="s">
        <v>166</v>
      </c>
      <c r="D69" t="s">
        <v>66</v>
      </c>
      <c r="E69" t="s">
        <v>16</v>
      </c>
      <c r="F69" t="s">
        <v>31</v>
      </c>
      <c r="G69" t="s">
        <v>124</v>
      </c>
      <c r="H69" t="s">
        <v>125</v>
      </c>
      <c r="I69">
        <v>3</v>
      </c>
      <c r="J69">
        <v>13842.45</v>
      </c>
      <c r="K69">
        <v>3461.85</v>
      </c>
      <c r="L69">
        <v>5</v>
      </c>
      <c r="M69" t="s">
        <v>49</v>
      </c>
      <c r="N69" t="str">
        <f>TEXT(Table1[[#This Row],[Order Date]],"MMMM")</f>
        <v>January</v>
      </c>
      <c r="O69">
        <f>YEAR(Table1[[#This Row],[Order Date]])</f>
        <v>2025</v>
      </c>
      <c r="P69" t="str">
        <f>"Q"&amp;ROUNDUP(MONTH(Table1[[#This Row],[Order Date]])/3,0)</f>
        <v>Q1</v>
      </c>
      <c r="Q69" s="3">
        <f>Table1[[#This Row],[Profit]]/Table1[[#This Row],[Sales]]</f>
        <v>0.2500893989142095</v>
      </c>
      <c r="R69" t="str">
        <f>IF(Table1[[#This Row],[Sales]]&lt;1000,"LOW",IF(Table1[[#This Row],[Sales]]&lt;5000,"MEDIUM","HIGH"))</f>
        <v>HIGH</v>
      </c>
      <c r="S69" s="2">
        <f>Table1[[#This Row],[Discount]]/100</f>
        <v>0.05</v>
      </c>
    </row>
    <row r="70" spans="1:19" x14ac:dyDescent="0.3">
      <c r="A70">
        <v>10069</v>
      </c>
      <c r="B70" s="1" t="s">
        <v>179</v>
      </c>
      <c r="C70" t="s">
        <v>180</v>
      </c>
      <c r="D70" t="s">
        <v>52</v>
      </c>
      <c r="E70" t="s">
        <v>53</v>
      </c>
      <c r="F70" t="s">
        <v>17</v>
      </c>
      <c r="G70" t="s">
        <v>43</v>
      </c>
      <c r="H70" t="s">
        <v>44</v>
      </c>
      <c r="I70">
        <v>8</v>
      </c>
      <c r="J70">
        <v>8251.2000000000007</v>
      </c>
      <c r="K70">
        <v>2002.86</v>
      </c>
      <c r="L70">
        <v>10</v>
      </c>
      <c r="M70" t="s">
        <v>20</v>
      </c>
      <c r="N70" t="str">
        <f>TEXT(Table1[[#This Row],[Order Date]],"MMMM")</f>
        <v>November</v>
      </c>
      <c r="O70">
        <f>YEAR(Table1[[#This Row],[Order Date]])</f>
        <v>2025</v>
      </c>
      <c r="P70" t="str">
        <f>"Q"&amp;ROUNDUP(MONTH(Table1[[#This Row],[Order Date]])/3,0)</f>
        <v>Q4</v>
      </c>
      <c r="Q70" s="3">
        <f>Table1[[#This Row],[Profit]]/Table1[[#This Row],[Sales]]</f>
        <v>0.2427356020942408</v>
      </c>
      <c r="R70" t="str">
        <f>IF(Table1[[#This Row],[Sales]]&lt;1000,"LOW",IF(Table1[[#This Row],[Sales]]&lt;5000,"MEDIUM","HIGH"))</f>
        <v>HIGH</v>
      </c>
      <c r="S70" s="2">
        <f>Table1[[#This Row],[Discount]]/100</f>
        <v>0.1</v>
      </c>
    </row>
    <row r="71" spans="1:19" x14ac:dyDescent="0.3">
      <c r="A71">
        <v>10070</v>
      </c>
      <c r="B71" s="1" t="s">
        <v>181</v>
      </c>
      <c r="C71" t="s">
        <v>182</v>
      </c>
      <c r="D71" t="s">
        <v>15</v>
      </c>
      <c r="E71" t="s">
        <v>16</v>
      </c>
      <c r="F71" t="s">
        <v>17</v>
      </c>
      <c r="G71" t="s">
        <v>75</v>
      </c>
      <c r="H71" t="s">
        <v>116</v>
      </c>
      <c r="I71">
        <v>6</v>
      </c>
      <c r="J71">
        <v>15578.1</v>
      </c>
      <c r="K71">
        <v>2227.19</v>
      </c>
      <c r="L71">
        <v>5</v>
      </c>
      <c r="M71" t="s">
        <v>40</v>
      </c>
      <c r="N71" t="str">
        <f>TEXT(Table1[[#This Row],[Order Date]],"MMMM")</f>
        <v>February</v>
      </c>
      <c r="O71">
        <f>YEAR(Table1[[#This Row],[Order Date]])</f>
        <v>2025</v>
      </c>
      <c r="P71" t="str">
        <f>"Q"&amp;ROUNDUP(MONTH(Table1[[#This Row],[Order Date]])/3,0)</f>
        <v>Q1</v>
      </c>
      <c r="Q71" s="3">
        <f>Table1[[#This Row],[Profit]]/Table1[[#This Row],[Sales]]</f>
        <v>0.14296929664079702</v>
      </c>
      <c r="R71" t="str">
        <f>IF(Table1[[#This Row],[Sales]]&lt;1000,"LOW",IF(Table1[[#This Row],[Sales]]&lt;5000,"MEDIUM","HIGH"))</f>
        <v>HIGH</v>
      </c>
      <c r="S71" s="2">
        <f>Table1[[#This Row],[Discount]]/100</f>
        <v>0.05</v>
      </c>
    </row>
    <row r="72" spans="1:19" x14ac:dyDescent="0.3">
      <c r="A72">
        <v>10071</v>
      </c>
      <c r="B72" s="1" t="s">
        <v>183</v>
      </c>
      <c r="C72" t="s">
        <v>184</v>
      </c>
      <c r="D72" t="s">
        <v>56</v>
      </c>
      <c r="E72" t="s">
        <v>57</v>
      </c>
      <c r="F72" t="s">
        <v>25</v>
      </c>
      <c r="G72" t="s">
        <v>26</v>
      </c>
      <c r="H72" t="s">
        <v>71</v>
      </c>
      <c r="I72">
        <v>8</v>
      </c>
      <c r="J72">
        <v>5104</v>
      </c>
      <c r="K72">
        <v>1422.53</v>
      </c>
      <c r="L72">
        <v>0</v>
      </c>
      <c r="M72" t="s">
        <v>45</v>
      </c>
      <c r="N72" t="str">
        <f>TEXT(Table1[[#This Row],[Order Date]],"MMMM")</f>
        <v>January</v>
      </c>
      <c r="O72">
        <f>YEAR(Table1[[#This Row],[Order Date]])</f>
        <v>2025</v>
      </c>
      <c r="P72" t="str">
        <f>"Q"&amp;ROUNDUP(MONTH(Table1[[#This Row],[Order Date]])/3,0)</f>
        <v>Q1</v>
      </c>
      <c r="Q72" s="3">
        <f>Table1[[#This Row],[Profit]]/Table1[[#This Row],[Sales]]</f>
        <v>0.27870885579937305</v>
      </c>
      <c r="R72" t="str">
        <f>IF(Table1[[#This Row],[Sales]]&lt;1000,"LOW",IF(Table1[[#This Row],[Sales]]&lt;5000,"MEDIUM","HIGH"))</f>
        <v>HIGH</v>
      </c>
      <c r="S72" s="2">
        <f>Table1[[#This Row],[Discount]]/100</f>
        <v>0</v>
      </c>
    </row>
    <row r="73" spans="1:19" x14ac:dyDescent="0.3">
      <c r="A73">
        <v>10072</v>
      </c>
      <c r="B73" s="1" t="s">
        <v>185</v>
      </c>
      <c r="C73" t="s">
        <v>82</v>
      </c>
      <c r="D73" t="s">
        <v>15</v>
      </c>
      <c r="E73" t="s">
        <v>16</v>
      </c>
      <c r="F73" t="s">
        <v>17</v>
      </c>
      <c r="G73" t="s">
        <v>75</v>
      </c>
      <c r="H73" t="s">
        <v>116</v>
      </c>
      <c r="I73">
        <v>5</v>
      </c>
      <c r="J73">
        <v>508</v>
      </c>
      <c r="K73">
        <v>139.16999999999999</v>
      </c>
      <c r="L73">
        <v>20</v>
      </c>
      <c r="M73" t="s">
        <v>20</v>
      </c>
      <c r="N73" t="str">
        <f>TEXT(Table1[[#This Row],[Order Date]],"MMMM")</f>
        <v>December</v>
      </c>
      <c r="O73">
        <f>YEAR(Table1[[#This Row],[Order Date]])</f>
        <v>2025</v>
      </c>
      <c r="P73" t="str">
        <f>"Q"&amp;ROUNDUP(MONTH(Table1[[#This Row],[Order Date]])/3,0)</f>
        <v>Q4</v>
      </c>
      <c r="Q73" s="3">
        <f>Table1[[#This Row],[Profit]]/Table1[[#This Row],[Sales]]</f>
        <v>0.27395669291338581</v>
      </c>
      <c r="R73" t="str">
        <f>IF(Table1[[#This Row],[Sales]]&lt;1000,"LOW",IF(Table1[[#This Row],[Sales]]&lt;5000,"MEDIUM","HIGH"))</f>
        <v>LOW</v>
      </c>
      <c r="S73" s="2">
        <f>Table1[[#This Row],[Discount]]/100</f>
        <v>0.2</v>
      </c>
    </row>
    <row r="74" spans="1:19" x14ac:dyDescent="0.3">
      <c r="A74">
        <v>10073</v>
      </c>
      <c r="B74" s="1" t="s">
        <v>186</v>
      </c>
      <c r="C74" t="s">
        <v>187</v>
      </c>
      <c r="D74" t="s">
        <v>23</v>
      </c>
      <c r="E74" t="s">
        <v>24</v>
      </c>
      <c r="F74" t="s">
        <v>25</v>
      </c>
      <c r="G74" t="s">
        <v>26</v>
      </c>
      <c r="H74" t="s">
        <v>48</v>
      </c>
      <c r="I74">
        <v>5</v>
      </c>
      <c r="J74">
        <v>3910</v>
      </c>
      <c r="K74">
        <v>899.87</v>
      </c>
      <c r="L74">
        <v>15</v>
      </c>
      <c r="M74" t="s">
        <v>28</v>
      </c>
      <c r="N74" t="str">
        <f>TEXT(Table1[[#This Row],[Order Date]],"MMMM")</f>
        <v>October</v>
      </c>
      <c r="O74">
        <f>YEAR(Table1[[#This Row],[Order Date]])</f>
        <v>2025</v>
      </c>
      <c r="P74" t="str">
        <f>"Q"&amp;ROUNDUP(MONTH(Table1[[#This Row],[Order Date]])/3,0)</f>
        <v>Q4</v>
      </c>
      <c r="Q74" s="3">
        <f>Table1[[#This Row],[Profit]]/Table1[[#This Row],[Sales]]</f>
        <v>0.23014578005115088</v>
      </c>
      <c r="R74" t="str">
        <f>IF(Table1[[#This Row],[Sales]]&lt;1000,"LOW",IF(Table1[[#This Row],[Sales]]&lt;5000,"MEDIUM","HIGH"))</f>
        <v>MEDIUM</v>
      </c>
      <c r="S74" s="2">
        <f>Table1[[#This Row],[Discount]]/100</f>
        <v>0.15</v>
      </c>
    </row>
    <row r="75" spans="1:19" x14ac:dyDescent="0.3">
      <c r="A75">
        <v>10074</v>
      </c>
      <c r="B75" s="1" t="s">
        <v>188</v>
      </c>
      <c r="C75" t="s">
        <v>189</v>
      </c>
      <c r="D75" t="s">
        <v>36</v>
      </c>
      <c r="E75" t="s">
        <v>37</v>
      </c>
      <c r="F75" t="s">
        <v>17</v>
      </c>
      <c r="G75" t="s">
        <v>18</v>
      </c>
      <c r="H75" t="s">
        <v>19</v>
      </c>
      <c r="I75">
        <v>8</v>
      </c>
      <c r="J75">
        <v>11349.2</v>
      </c>
      <c r="K75">
        <v>3334.09</v>
      </c>
      <c r="L75">
        <v>15</v>
      </c>
      <c r="M75" t="s">
        <v>20</v>
      </c>
      <c r="N75" t="str">
        <f>TEXT(Table1[[#This Row],[Order Date]],"MMMM")</f>
        <v>October</v>
      </c>
      <c r="O75">
        <f>YEAR(Table1[[#This Row],[Order Date]])</f>
        <v>2025</v>
      </c>
      <c r="P75" t="str">
        <f>"Q"&amp;ROUNDUP(MONTH(Table1[[#This Row],[Order Date]])/3,0)</f>
        <v>Q4</v>
      </c>
      <c r="Q75" s="3">
        <f>Table1[[#This Row],[Profit]]/Table1[[#This Row],[Sales]]</f>
        <v>0.29377312938356887</v>
      </c>
      <c r="R75" t="str">
        <f>IF(Table1[[#This Row],[Sales]]&lt;1000,"LOW",IF(Table1[[#This Row],[Sales]]&lt;5000,"MEDIUM","HIGH"))</f>
        <v>HIGH</v>
      </c>
      <c r="S75" s="2">
        <f>Table1[[#This Row],[Discount]]/100</f>
        <v>0.15</v>
      </c>
    </row>
    <row r="76" spans="1:19" x14ac:dyDescent="0.3">
      <c r="A76">
        <v>10075</v>
      </c>
      <c r="B76" s="1" t="s">
        <v>190</v>
      </c>
      <c r="C76" t="s">
        <v>191</v>
      </c>
      <c r="D76" t="s">
        <v>66</v>
      </c>
      <c r="E76" t="s">
        <v>16</v>
      </c>
      <c r="F76" t="s">
        <v>25</v>
      </c>
      <c r="G76" t="s">
        <v>26</v>
      </c>
      <c r="H76" t="s">
        <v>71</v>
      </c>
      <c r="I76">
        <v>1</v>
      </c>
      <c r="J76">
        <v>3758.4</v>
      </c>
      <c r="K76">
        <v>752.68</v>
      </c>
      <c r="L76">
        <v>10</v>
      </c>
      <c r="M76" t="s">
        <v>45</v>
      </c>
      <c r="N76" t="str">
        <f>TEXT(Table1[[#This Row],[Order Date]],"MMMM")</f>
        <v>September</v>
      </c>
      <c r="O76">
        <f>YEAR(Table1[[#This Row],[Order Date]])</f>
        <v>2025</v>
      </c>
      <c r="P76" t="str">
        <f>"Q"&amp;ROUNDUP(MONTH(Table1[[#This Row],[Order Date]])/3,0)</f>
        <v>Q3</v>
      </c>
      <c r="Q76" s="3">
        <f>Table1[[#This Row],[Profit]]/Table1[[#This Row],[Sales]]</f>
        <v>0.20026607066836949</v>
      </c>
      <c r="R76" t="str">
        <f>IF(Table1[[#This Row],[Sales]]&lt;1000,"LOW",IF(Table1[[#This Row],[Sales]]&lt;5000,"MEDIUM","HIGH"))</f>
        <v>MEDIUM</v>
      </c>
      <c r="S76" s="2">
        <f>Table1[[#This Row],[Discount]]/100</f>
        <v>0.1</v>
      </c>
    </row>
    <row r="77" spans="1:19" x14ac:dyDescent="0.3">
      <c r="A77">
        <v>10076</v>
      </c>
      <c r="B77" s="1" t="s">
        <v>192</v>
      </c>
      <c r="C77" t="s">
        <v>193</v>
      </c>
      <c r="D77" t="s">
        <v>66</v>
      </c>
      <c r="E77" t="s">
        <v>16</v>
      </c>
      <c r="F77" t="s">
        <v>31</v>
      </c>
      <c r="G77" t="s">
        <v>89</v>
      </c>
      <c r="H77" t="s">
        <v>90</v>
      </c>
      <c r="I77">
        <v>3</v>
      </c>
      <c r="J77">
        <v>13977</v>
      </c>
      <c r="K77">
        <v>1671.87</v>
      </c>
      <c r="L77">
        <v>0</v>
      </c>
      <c r="M77" t="s">
        <v>28</v>
      </c>
      <c r="N77" t="str">
        <f>TEXT(Table1[[#This Row],[Order Date]],"MMMM")</f>
        <v>June</v>
      </c>
      <c r="O77">
        <f>YEAR(Table1[[#This Row],[Order Date]])</f>
        <v>2025</v>
      </c>
      <c r="P77" t="str">
        <f>"Q"&amp;ROUNDUP(MONTH(Table1[[#This Row],[Order Date]])/3,0)</f>
        <v>Q2</v>
      </c>
      <c r="Q77" s="3">
        <f>Table1[[#This Row],[Profit]]/Table1[[#This Row],[Sales]]</f>
        <v>0.11961579738141231</v>
      </c>
      <c r="R77" t="str">
        <f>IF(Table1[[#This Row],[Sales]]&lt;1000,"LOW",IF(Table1[[#This Row],[Sales]]&lt;5000,"MEDIUM","HIGH"))</f>
        <v>HIGH</v>
      </c>
      <c r="S77" s="2">
        <f>Table1[[#This Row],[Discount]]/100</f>
        <v>0</v>
      </c>
    </row>
    <row r="78" spans="1:19" x14ac:dyDescent="0.3">
      <c r="A78">
        <v>10077</v>
      </c>
      <c r="B78" s="1" t="s">
        <v>194</v>
      </c>
      <c r="C78" t="s">
        <v>195</v>
      </c>
      <c r="D78" t="s">
        <v>66</v>
      </c>
      <c r="E78" t="s">
        <v>16</v>
      </c>
      <c r="F78" t="s">
        <v>31</v>
      </c>
      <c r="G78" t="s">
        <v>32</v>
      </c>
      <c r="H78" t="s">
        <v>33</v>
      </c>
      <c r="I78">
        <v>5</v>
      </c>
      <c r="J78">
        <v>535.5</v>
      </c>
      <c r="K78">
        <v>109.55</v>
      </c>
      <c r="L78">
        <v>15</v>
      </c>
      <c r="M78" t="s">
        <v>28</v>
      </c>
      <c r="N78" t="str">
        <f>TEXT(Table1[[#This Row],[Order Date]],"MMMM")</f>
        <v>April</v>
      </c>
      <c r="O78">
        <f>YEAR(Table1[[#This Row],[Order Date]])</f>
        <v>2025</v>
      </c>
      <c r="P78" t="str">
        <f>"Q"&amp;ROUNDUP(MONTH(Table1[[#This Row],[Order Date]])/3,0)</f>
        <v>Q2</v>
      </c>
      <c r="Q78" s="3">
        <f>Table1[[#This Row],[Profit]]/Table1[[#This Row],[Sales]]</f>
        <v>0.20457516339869281</v>
      </c>
      <c r="R78" t="str">
        <f>IF(Table1[[#This Row],[Sales]]&lt;1000,"LOW",IF(Table1[[#This Row],[Sales]]&lt;5000,"MEDIUM","HIGH"))</f>
        <v>LOW</v>
      </c>
      <c r="S78" s="2">
        <f>Table1[[#This Row],[Discount]]/100</f>
        <v>0.15</v>
      </c>
    </row>
    <row r="79" spans="1:19" x14ac:dyDescent="0.3">
      <c r="A79">
        <v>10078</v>
      </c>
      <c r="B79" s="1" t="s">
        <v>196</v>
      </c>
      <c r="C79" t="s">
        <v>197</v>
      </c>
      <c r="D79" t="s">
        <v>15</v>
      </c>
      <c r="E79" t="s">
        <v>16</v>
      </c>
      <c r="F79" t="s">
        <v>25</v>
      </c>
      <c r="G79" t="s">
        <v>26</v>
      </c>
      <c r="H79" t="s">
        <v>71</v>
      </c>
      <c r="I79">
        <v>5</v>
      </c>
      <c r="J79">
        <v>16494.25</v>
      </c>
      <c r="K79">
        <v>4660.3500000000004</v>
      </c>
      <c r="L79">
        <v>15</v>
      </c>
      <c r="M79" t="s">
        <v>20</v>
      </c>
      <c r="N79" t="str">
        <f>TEXT(Table1[[#This Row],[Order Date]],"MMMM")</f>
        <v>July</v>
      </c>
      <c r="O79">
        <f>YEAR(Table1[[#This Row],[Order Date]])</f>
        <v>2025</v>
      </c>
      <c r="P79" t="str">
        <f>"Q"&amp;ROUNDUP(MONTH(Table1[[#This Row],[Order Date]])/3,0)</f>
        <v>Q3</v>
      </c>
      <c r="Q79" s="3">
        <f>Table1[[#This Row],[Profit]]/Table1[[#This Row],[Sales]]</f>
        <v>0.28254391681949775</v>
      </c>
      <c r="R79" t="str">
        <f>IF(Table1[[#This Row],[Sales]]&lt;1000,"LOW",IF(Table1[[#This Row],[Sales]]&lt;5000,"MEDIUM","HIGH"))</f>
        <v>HIGH</v>
      </c>
      <c r="S79" s="2">
        <f>Table1[[#This Row],[Discount]]/100</f>
        <v>0.15</v>
      </c>
    </row>
    <row r="80" spans="1:19" x14ac:dyDescent="0.3">
      <c r="A80">
        <v>10079</v>
      </c>
      <c r="B80" s="1" t="s">
        <v>198</v>
      </c>
      <c r="C80" t="s">
        <v>121</v>
      </c>
      <c r="D80" t="s">
        <v>60</v>
      </c>
      <c r="E80" t="s">
        <v>61</v>
      </c>
      <c r="F80" t="s">
        <v>25</v>
      </c>
      <c r="G80" t="s">
        <v>26</v>
      </c>
      <c r="H80" t="s">
        <v>27</v>
      </c>
      <c r="I80">
        <v>2</v>
      </c>
      <c r="J80">
        <v>1001.3</v>
      </c>
      <c r="K80">
        <v>161.01</v>
      </c>
      <c r="L80">
        <v>5</v>
      </c>
      <c r="M80" t="s">
        <v>49</v>
      </c>
      <c r="N80" t="str">
        <f>TEXT(Table1[[#This Row],[Order Date]],"MMMM")</f>
        <v>May</v>
      </c>
      <c r="O80">
        <f>YEAR(Table1[[#This Row],[Order Date]])</f>
        <v>2025</v>
      </c>
      <c r="P80" t="str">
        <f>"Q"&amp;ROUNDUP(MONTH(Table1[[#This Row],[Order Date]])/3,0)</f>
        <v>Q2</v>
      </c>
      <c r="Q80" s="3">
        <f>Table1[[#This Row],[Profit]]/Table1[[#This Row],[Sales]]</f>
        <v>0.1608009587536203</v>
      </c>
      <c r="R80" t="str">
        <f>IF(Table1[[#This Row],[Sales]]&lt;1000,"LOW",IF(Table1[[#This Row],[Sales]]&lt;5000,"MEDIUM","HIGH"))</f>
        <v>MEDIUM</v>
      </c>
      <c r="S80" s="2">
        <f>Table1[[#This Row],[Discount]]/100</f>
        <v>0.05</v>
      </c>
    </row>
    <row r="81" spans="1:19" x14ac:dyDescent="0.3">
      <c r="A81">
        <v>10080</v>
      </c>
      <c r="B81" s="1" t="s">
        <v>199</v>
      </c>
      <c r="C81" t="s">
        <v>148</v>
      </c>
      <c r="D81" t="s">
        <v>60</v>
      </c>
      <c r="E81" t="s">
        <v>61</v>
      </c>
      <c r="F81" t="s">
        <v>31</v>
      </c>
      <c r="G81" t="s">
        <v>38</v>
      </c>
      <c r="H81" t="s">
        <v>39</v>
      </c>
      <c r="I81">
        <v>8</v>
      </c>
      <c r="J81">
        <v>18560</v>
      </c>
      <c r="K81">
        <v>1847.49</v>
      </c>
      <c r="L81">
        <v>20</v>
      </c>
      <c r="M81" t="s">
        <v>49</v>
      </c>
      <c r="N81" t="str">
        <f>TEXT(Table1[[#This Row],[Order Date]],"MMMM")</f>
        <v>September</v>
      </c>
      <c r="O81">
        <f>YEAR(Table1[[#This Row],[Order Date]])</f>
        <v>2025</v>
      </c>
      <c r="P81" t="str">
        <f>"Q"&amp;ROUNDUP(MONTH(Table1[[#This Row],[Order Date]])/3,0)</f>
        <v>Q3</v>
      </c>
      <c r="Q81" s="3">
        <f>Table1[[#This Row],[Profit]]/Table1[[#This Row],[Sales]]</f>
        <v>9.9541487068965512E-2</v>
      </c>
      <c r="R81" t="str">
        <f>IF(Table1[[#This Row],[Sales]]&lt;1000,"LOW",IF(Table1[[#This Row],[Sales]]&lt;5000,"MEDIUM","HIGH"))</f>
        <v>HIGH</v>
      </c>
      <c r="S81" s="2">
        <f>Table1[[#This Row],[Discount]]/100</f>
        <v>0.2</v>
      </c>
    </row>
    <row r="82" spans="1:19" x14ac:dyDescent="0.3">
      <c r="A82">
        <v>10081</v>
      </c>
      <c r="B82" s="1" t="s">
        <v>200</v>
      </c>
      <c r="C82" t="s">
        <v>201</v>
      </c>
      <c r="D82" t="s">
        <v>23</v>
      </c>
      <c r="E82" t="s">
        <v>24</v>
      </c>
      <c r="F82" t="s">
        <v>31</v>
      </c>
      <c r="G82" t="s">
        <v>32</v>
      </c>
      <c r="H82" t="s">
        <v>33</v>
      </c>
      <c r="I82">
        <v>7</v>
      </c>
      <c r="J82">
        <v>26264.7</v>
      </c>
      <c r="K82">
        <v>6963.04</v>
      </c>
      <c r="L82">
        <v>10</v>
      </c>
      <c r="M82" t="s">
        <v>40</v>
      </c>
      <c r="N82" t="str">
        <f>TEXT(Table1[[#This Row],[Order Date]],"MMMM")</f>
        <v>July</v>
      </c>
      <c r="O82">
        <f>YEAR(Table1[[#This Row],[Order Date]])</f>
        <v>2025</v>
      </c>
      <c r="P82" t="str">
        <f>"Q"&amp;ROUNDUP(MONTH(Table1[[#This Row],[Order Date]])/3,0)</f>
        <v>Q3</v>
      </c>
      <c r="Q82" s="3">
        <f>Table1[[#This Row],[Profit]]/Table1[[#This Row],[Sales]]</f>
        <v>0.26511020495189358</v>
      </c>
      <c r="R82" t="str">
        <f>IF(Table1[[#This Row],[Sales]]&lt;1000,"LOW",IF(Table1[[#This Row],[Sales]]&lt;5000,"MEDIUM","HIGH"))</f>
        <v>HIGH</v>
      </c>
      <c r="S82" s="2">
        <f>Table1[[#This Row],[Discount]]/100</f>
        <v>0.1</v>
      </c>
    </row>
    <row r="83" spans="1:19" x14ac:dyDescent="0.3">
      <c r="A83">
        <v>10082</v>
      </c>
      <c r="B83" s="1" t="s">
        <v>29</v>
      </c>
      <c r="C83" t="s">
        <v>201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8</v>
      </c>
      <c r="J83">
        <v>19032</v>
      </c>
      <c r="K83">
        <v>2578.4299999999998</v>
      </c>
      <c r="L83">
        <v>0</v>
      </c>
      <c r="M83" t="s">
        <v>45</v>
      </c>
      <c r="N83" t="str">
        <f>TEXT(Table1[[#This Row],[Order Date]],"MMMM")</f>
        <v>July</v>
      </c>
      <c r="O83">
        <f>YEAR(Table1[[#This Row],[Order Date]])</f>
        <v>2025</v>
      </c>
      <c r="P83" t="str">
        <f>"Q"&amp;ROUNDUP(MONTH(Table1[[#This Row],[Order Date]])/3,0)</f>
        <v>Q3</v>
      </c>
      <c r="Q83" s="3">
        <f>Table1[[#This Row],[Profit]]/Table1[[#This Row],[Sales]]</f>
        <v>0.13547866750735602</v>
      </c>
      <c r="R83" t="str">
        <f>IF(Table1[[#This Row],[Sales]]&lt;1000,"LOW",IF(Table1[[#This Row],[Sales]]&lt;5000,"MEDIUM","HIGH"))</f>
        <v>HIGH</v>
      </c>
      <c r="S83" s="2">
        <f>Table1[[#This Row],[Discount]]/100</f>
        <v>0</v>
      </c>
    </row>
    <row r="84" spans="1:19" x14ac:dyDescent="0.3">
      <c r="A84">
        <v>10083</v>
      </c>
      <c r="B84" s="1" t="s">
        <v>147</v>
      </c>
      <c r="C84" t="s">
        <v>201</v>
      </c>
      <c r="D84" t="s">
        <v>74</v>
      </c>
      <c r="E84" t="s">
        <v>74</v>
      </c>
      <c r="F84" t="s">
        <v>31</v>
      </c>
      <c r="G84" t="s">
        <v>124</v>
      </c>
      <c r="H84" t="s">
        <v>125</v>
      </c>
      <c r="I84">
        <v>3</v>
      </c>
      <c r="J84">
        <v>4964.7</v>
      </c>
      <c r="K84">
        <v>1150.82</v>
      </c>
      <c r="L84">
        <v>5</v>
      </c>
      <c r="M84" t="s">
        <v>40</v>
      </c>
      <c r="N84" t="str">
        <f>TEXT(Table1[[#This Row],[Order Date]],"MMMM")</f>
        <v>March</v>
      </c>
      <c r="O84">
        <f>YEAR(Table1[[#This Row],[Order Date]])</f>
        <v>2025</v>
      </c>
      <c r="P84" t="str">
        <f>"Q"&amp;ROUNDUP(MONTH(Table1[[#This Row],[Order Date]])/3,0)</f>
        <v>Q1</v>
      </c>
      <c r="Q84" s="3">
        <f>Table1[[#This Row],[Profit]]/Table1[[#This Row],[Sales]]</f>
        <v>0.23180051161198059</v>
      </c>
      <c r="R84" t="str">
        <f>IF(Table1[[#This Row],[Sales]]&lt;1000,"LOW",IF(Table1[[#This Row],[Sales]]&lt;5000,"MEDIUM","HIGH"))</f>
        <v>MEDIUM</v>
      </c>
      <c r="S84" s="2">
        <f>Table1[[#This Row],[Discount]]/100</f>
        <v>0.05</v>
      </c>
    </row>
    <row r="85" spans="1:19" x14ac:dyDescent="0.3">
      <c r="A85">
        <v>10084</v>
      </c>
      <c r="B85" s="1" t="s">
        <v>202</v>
      </c>
      <c r="C85" t="s">
        <v>203</v>
      </c>
      <c r="D85" t="s">
        <v>60</v>
      </c>
      <c r="E85" t="s">
        <v>61</v>
      </c>
      <c r="F85" t="s">
        <v>17</v>
      </c>
      <c r="G85" t="s">
        <v>75</v>
      </c>
      <c r="H85" t="s">
        <v>116</v>
      </c>
      <c r="I85">
        <v>4</v>
      </c>
      <c r="J85">
        <v>8312.4</v>
      </c>
      <c r="K85">
        <v>1886.27</v>
      </c>
      <c r="L85">
        <v>10</v>
      </c>
      <c r="M85" t="s">
        <v>49</v>
      </c>
      <c r="N85" t="str">
        <f>TEXT(Table1[[#This Row],[Order Date]],"MMMM")</f>
        <v>November</v>
      </c>
      <c r="O85">
        <f>YEAR(Table1[[#This Row],[Order Date]])</f>
        <v>2025</v>
      </c>
      <c r="P85" t="str">
        <f>"Q"&amp;ROUNDUP(MONTH(Table1[[#This Row],[Order Date]])/3,0)</f>
        <v>Q4</v>
      </c>
      <c r="Q85" s="3">
        <f>Table1[[#This Row],[Profit]]/Table1[[#This Row],[Sales]]</f>
        <v>0.22692242914200472</v>
      </c>
      <c r="R85" t="str">
        <f>IF(Table1[[#This Row],[Sales]]&lt;1000,"LOW",IF(Table1[[#This Row],[Sales]]&lt;5000,"MEDIUM","HIGH"))</f>
        <v>HIGH</v>
      </c>
      <c r="S85" s="2">
        <f>Table1[[#This Row],[Discount]]/100</f>
        <v>0.1</v>
      </c>
    </row>
    <row r="86" spans="1:19" x14ac:dyDescent="0.3">
      <c r="A86">
        <v>10085</v>
      </c>
      <c r="B86" s="1" t="s">
        <v>204</v>
      </c>
      <c r="C86" t="s">
        <v>65</v>
      </c>
      <c r="D86" t="s">
        <v>60</v>
      </c>
      <c r="E86" t="s">
        <v>61</v>
      </c>
      <c r="F86" t="s">
        <v>17</v>
      </c>
      <c r="G86" t="s">
        <v>18</v>
      </c>
      <c r="H86" t="s">
        <v>19</v>
      </c>
      <c r="I86">
        <v>4</v>
      </c>
      <c r="J86">
        <v>11464.8</v>
      </c>
      <c r="K86">
        <v>2523.17</v>
      </c>
      <c r="L86">
        <v>15</v>
      </c>
      <c r="M86" t="s">
        <v>45</v>
      </c>
      <c r="N86" t="str">
        <f>TEXT(Table1[[#This Row],[Order Date]],"MMMM")</f>
        <v>December</v>
      </c>
      <c r="O86">
        <f>YEAR(Table1[[#This Row],[Order Date]])</f>
        <v>2025</v>
      </c>
      <c r="P86" t="str">
        <f>"Q"&amp;ROUNDUP(MONTH(Table1[[#This Row],[Order Date]])/3,0)</f>
        <v>Q4</v>
      </c>
      <c r="Q86" s="3">
        <f>Table1[[#This Row],[Profit]]/Table1[[#This Row],[Sales]]</f>
        <v>0.22007972228037123</v>
      </c>
      <c r="R86" t="str">
        <f>IF(Table1[[#This Row],[Sales]]&lt;1000,"LOW",IF(Table1[[#This Row],[Sales]]&lt;5000,"MEDIUM","HIGH"))</f>
        <v>HIGH</v>
      </c>
      <c r="S86" s="2">
        <f>Table1[[#This Row],[Discount]]/100</f>
        <v>0.15</v>
      </c>
    </row>
    <row r="87" spans="1:19" x14ac:dyDescent="0.3">
      <c r="A87">
        <v>10086</v>
      </c>
      <c r="B87" s="1" t="s">
        <v>205</v>
      </c>
      <c r="C87" t="s">
        <v>206</v>
      </c>
      <c r="D87" t="s">
        <v>74</v>
      </c>
      <c r="E87" t="s">
        <v>74</v>
      </c>
      <c r="F87" t="s">
        <v>17</v>
      </c>
      <c r="G87" t="s">
        <v>18</v>
      </c>
      <c r="H87" t="s">
        <v>19</v>
      </c>
      <c r="I87">
        <v>2</v>
      </c>
      <c r="J87">
        <v>5977.6</v>
      </c>
      <c r="K87">
        <v>660.33</v>
      </c>
      <c r="L87">
        <v>20</v>
      </c>
      <c r="M87" t="s">
        <v>49</v>
      </c>
      <c r="N87" t="str">
        <f>TEXT(Table1[[#This Row],[Order Date]],"MMMM")</f>
        <v>March</v>
      </c>
      <c r="O87">
        <f>YEAR(Table1[[#This Row],[Order Date]])</f>
        <v>2025</v>
      </c>
      <c r="P87" t="str">
        <f>"Q"&amp;ROUNDUP(MONTH(Table1[[#This Row],[Order Date]])/3,0)</f>
        <v>Q1</v>
      </c>
      <c r="Q87" s="3">
        <f>Table1[[#This Row],[Profit]]/Table1[[#This Row],[Sales]]</f>
        <v>0.11046741167023555</v>
      </c>
      <c r="R87" t="str">
        <f>IF(Table1[[#This Row],[Sales]]&lt;1000,"LOW",IF(Table1[[#This Row],[Sales]]&lt;5000,"MEDIUM","HIGH"))</f>
        <v>HIGH</v>
      </c>
      <c r="S87" s="2">
        <f>Table1[[#This Row],[Discount]]/100</f>
        <v>0.2</v>
      </c>
    </row>
    <row r="88" spans="1:19" x14ac:dyDescent="0.3">
      <c r="A88">
        <v>10087</v>
      </c>
      <c r="B88" s="1" t="s">
        <v>207</v>
      </c>
      <c r="C88" t="s">
        <v>208</v>
      </c>
      <c r="D88" t="s">
        <v>23</v>
      </c>
      <c r="E88" t="s">
        <v>24</v>
      </c>
      <c r="F88" t="s">
        <v>17</v>
      </c>
      <c r="G88" t="s">
        <v>18</v>
      </c>
      <c r="H88" t="s">
        <v>19</v>
      </c>
      <c r="I88">
        <v>4</v>
      </c>
      <c r="J88">
        <v>2682</v>
      </c>
      <c r="K88">
        <v>483.48</v>
      </c>
      <c r="L88">
        <v>10</v>
      </c>
      <c r="M88" t="s">
        <v>20</v>
      </c>
      <c r="N88" t="str">
        <f>TEXT(Table1[[#This Row],[Order Date]],"MMMM")</f>
        <v>August</v>
      </c>
      <c r="O88">
        <f>YEAR(Table1[[#This Row],[Order Date]])</f>
        <v>2025</v>
      </c>
      <c r="P88" t="str">
        <f>"Q"&amp;ROUNDUP(MONTH(Table1[[#This Row],[Order Date]])/3,0)</f>
        <v>Q3</v>
      </c>
      <c r="Q88" s="3">
        <f>Table1[[#This Row],[Profit]]/Table1[[#This Row],[Sales]]</f>
        <v>0.18026845637583894</v>
      </c>
      <c r="R88" t="str">
        <f>IF(Table1[[#This Row],[Sales]]&lt;1000,"LOW",IF(Table1[[#This Row],[Sales]]&lt;5000,"MEDIUM","HIGH"))</f>
        <v>MEDIUM</v>
      </c>
      <c r="S88" s="2">
        <f>Table1[[#This Row],[Discount]]/100</f>
        <v>0.1</v>
      </c>
    </row>
    <row r="89" spans="1:19" x14ac:dyDescent="0.3">
      <c r="A89">
        <v>10088</v>
      </c>
      <c r="B89" s="1" t="s">
        <v>209</v>
      </c>
      <c r="C89" t="s">
        <v>210</v>
      </c>
      <c r="D89" t="s">
        <v>52</v>
      </c>
      <c r="E89" t="s">
        <v>53</v>
      </c>
      <c r="F89" t="s">
        <v>17</v>
      </c>
      <c r="G89" t="s">
        <v>43</v>
      </c>
      <c r="H89" t="s">
        <v>44</v>
      </c>
      <c r="I89">
        <v>6</v>
      </c>
      <c r="J89">
        <v>7879.5</v>
      </c>
      <c r="K89">
        <v>762.73</v>
      </c>
      <c r="L89">
        <v>15</v>
      </c>
      <c r="M89" t="s">
        <v>20</v>
      </c>
      <c r="N89" t="str">
        <f>TEXT(Table1[[#This Row],[Order Date]],"MMMM")</f>
        <v>March</v>
      </c>
      <c r="O89">
        <f>YEAR(Table1[[#This Row],[Order Date]])</f>
        <v>2025</v>
      </c>
      <c r="P89" t="str">
        <f>"Q"&amp;ROUNDUP(MONTH(Table1[[#This Row],[Order Date]])/3,0)</f>
        <v>Q1</v>
      </c>
      <c r="Q89" s="3">
        <f>Table1[[#This Row],[Profit]]/Table1[[#This Row],[Sales]]</f>
        <v>9.679928929500603E-2</v>
      </c>
      <c r="R89" t="str">
        <f>IF(Table1[[#This Row],[Sales]]&lt;1000,"LOW",IF(Table1[[#This Row],[Sales]]&lt;5000,"MEDIUM","HIGH"))</f>
        <v>HIGH</v>
      </c>
      <c r="S89" s="2">
        <f>Table1[[#This Row],[Discount]]/100</f>
        <v>0.15</v>
      </c>
    </row>
    <row r="90" spans="1:19" x14ac:dyDescent="0.3">
      <c r="A90">
        <v>10089</v>
      </c>
      <c r="B90" s="1" t="s">
        <v>211</v>
      </c>
      <c r="C90" t="s">
        <v>212</v>
      </c>
      <c r="D90" t="s">
        <v>74</v>
      </c>
      <c r="E90" t="s">
        <v>74</v>
      </c>
      <c r="F90" t="s">
        <v>31</v>
      </c>
      <c r="G90" t="s">
        <v>89</v>
      </c>
      <c r="H90" t="s">
        <v>90</v>
      </c>
      <c r="I90">
        <v>6</v>
      </c>
      <c r="J90">
        <v>16710</v>
      </c>
      <c r="K90">
        <v>1395.19</v>
      </c>
      <c r="L90">
        <v>0</v>
      </c>
      <c r="M90" t="s">
        <v>28</v>
      </c>
      <c r="N90" t="str">
        <f>TEXT(Table1[[#This Row],[Order Date]],"MMMM")</f>
        <v>March</v>
      </c>
      <c r="O90">
        <f>YEAR(Table1[[#This Row],[Order Date]])</f>
        <v>2025</v>
      </c>
      <c r="P90" t="str">
        <f>"Q"&amp;ROUNDUP(MONTH(Table1[[#This Row],[Order Date]])/3,0)</f>
        <v>Q1</v>
      </c>
      <c r="Q90" s="3">
        <f>Table1[[#This Row],[Profit]]/Table1[[#This Row],[Sales]]</f>
        <v>8.3494314781567922E-2</v>
      </c>
      <c r="R90" t="str">
        <f>IF(Table1[[#This Row],[Sales]]&lt;1000,"LOW",IF(Table1[[#This Row],[Sales]]&lt;5000,"MEDIUM","HIGH"))</f>
        <v>HIGH</v>
      </c>
      <c r="S90" s="2">
        <f>Table1[[#This Row],[Discount]]/100</f>
        <v>0</v>
      </c>
    </row>
    <row r="91" spans="1:19" x14ac:dyDescent="0.3">
      <c r="A91">
        <v>10090</v>
      </c>
      <c r="B91" s="1" t="s">
        <v>190</v>
      </c>
      <c r="C91" t="s">
        <v>121</v>
      </c>
      <c r="D91" t="s">
        <v>23</v>
      </c>
      <c r="E91" t="s">
        <v>24</v>
      </c>
      <c r="F91" t="s">
        <v>31</v>
      </c>
      <c r="G91" t="s">
        <v>124</v>
      </c>
      <c r="H91" t="s">
        <v>125</v>
      </c>
      <c r="I91">
        <v>6</v>
      </c>
      <c r="J91">
        <v>21614.400000000001</v>
      </c>
      <c r="K91">
        <v>3707.3</v>
      </c>
      <c r="L91">
        <v>20</v>
      </c>
      <c r="M91" t="s">
        <v>20</v>
      </c>
      <c r="N91" t="str">
        <f>TEXT(Table1[[#This Row],[Order Date]],"MMMM")</f>
        <v>September</v>
      </c>
      <c r="O91">
        <f>YEAR(Table1[[#This Row],[Order Date]])</f>
        <v>2025</v>
      </c>
      <c r="P91" t="str">
        <f>"Q"&amp;ROUNDUP(MONTH(Table1[[#This Row],[Order Date]])/3,0)</f>
        <v>Q3</v>
      </c>
      <c r="Q91" s="3">
        <f>Table1[[#This Row],[Profit]]/Table1[[#This Row],[Sales]]</f>
        <v>0.17151991265082536</v>
      </c>
      <c r="R91" t="str">
        <f>IF(Table1[[#This Row],[Sales]]&lt;1000,"LOW",IF(Table1[[#This Row],[Sales]]&lt;5000,"MEDIUM","HIGH"))</f>
        <v>HIGH</v>
      </c>
      <c r="S91" s="2">
        <f>Table1[[#This Row],[Discount]]/100</f>
        <v>0.2</v>
      </c>
    </row>
    <row r="92" spans="1:19" x14ac:dyDescent="0.3">
      <c r="A92">
        <v>10091</v>
      </c>
      <c r="B92" s="1" t="s">
        <v>213</v>
      </c>
      <c r="C92" t="s">
        <v>214</v>
      </c>
      <c r="D92" t="s">
        <v>15</v>
      </c>
      <c r="E92" t="s">
        <v>16</v>
      </c>
      <c r="F92" t="s">
        <v>31</v>
      </c>
      <c r="G92" t="s">
        <v>32</v>
      </c>
      <c r="H92" t="s">
        <v>33</v>
      </c>
      <c r="I92">
        <v>3</v>
      </c>
      <c r="J92">
        <v>12807</v>
      </c>
      <c r="K92">
        <v>3409.33</v>
      </c>
      <c r="L92">
        <v>0</v>
      </c>
      <c r="M92" t="s">
        <v>28</v>
      </c>
      <c r="N92" t="str">
        <f>TEXT(Table1[[#This Row],[Order Date]],"MMMM")</f>
        <v>February</v>
      </c>
      <c r="O92">
        <f>YEAR(Table1[[#This Row],[Order Date]])</f>
        <v>2025</v>
      </c>
      <c r="P92" t="str">
        <f>"Q"&amp;ROUNDUP(MONTH(Table1[[#This Row],[Order Date]])/3,0)</f>
        <v>Q1</v>
      </c>
      <c r="Q92" s="3">
        <f>Table1[[#This Row],[Profit]]/Table1[[#This Row],[Sales]]</f>
        <v>0.26620832357304597</v>
      </c>
      <c r="R92" t="str">
        <f>IF(Table1[[#This Row],[Sales]]&lt;1000,"LOW",IF(Table1[[#This Row],[Sales]]&lt;5000,"MEDIUM","HIGH"))</f>
        <v>HIGH</v>
      </c>
      <c r="S92" s="2">
        <f>Table1[[#This Row],[Discount]]/100</f>
        <v>0</v>
      </c>
    </row>
    <row r="93" spans="1:19" x14ac:dyDescent="0.3">
      <c r="A93">
        <v>10092</v>
      </c>
      <c r="B93" s="1" t="s">
        <v>215</v>
      </c>
      <c r="C93" t="s">
        <v>216</v>
      </c>
      <c r="D93" t="s">
        <v>66</v>
      </c>
      <c r="E93" t="s">
        <v>16</v>
      </c>
      <c r="F93" t="s">
        <v>17</v>
      </c>
      <c r="G93" t="s">
        <v>18</v>
      </c>
      <c r="H93" t="s">
        <v>19</v>
      </c>
      <c r="I93">
        <v>1</v>
      </c>
      <c r="J93">
        <v>1741</v>
      </c>
      <c r="K93">
        <v>264.25</v>
      </c>
      <c r="L93">
        <v>0</v>
      </c>
      <c r="M93" t="s">
        <v>28</v>
      </c>
      <c r="N93" t="str">
        <f>TEXT(Table1[[#This Row],[Order Date]],"MMMM")</f>
        <v>April</v>
      </c>
      <c r="O93">
        <f>YEAR(Table1[[#This Row],[Order Date]])</f>
        <v>2025</v>
      </c>
      <c r="P93" t="str">
        <f>"Q"&amp;ROUNDUP(MONTH(Table1[[#This Row],[Order Date]])/3,0)</f>
        <v>Q2</v>
      </c>
      <c r="Q93" s="3">
        <f>Table1[[#This Row],[Profit]]/Table1[[#This Row],[Sales]]</f>
        <v>0.15178058587018955</v>
      </c>
      <c r="R93" t="str">
        <f>IF(Table1[[#This Row],[Sales]]&lt;1000,"LOW",IF(Table1[[#This Row],[Sales]]&lt;5000,"MEDIUM","HIGH"))</f>
        <v>MEDIUM</v>
      </c>
      <c r="S93" s="2">
        <f>Table1[[#This Row],[Discount]]/100</f>
        <v>0</v>
      </c>
    </row>
    <row r="94" spans="1:19" x14ac:dyDescent="0.3">
      <c r="A94">
        <v>10093</v>
      </c>
      <c r="B94" s="1" t="s">
        <v>217</v>
      </c>
      <c r="C94" t="s">
        <v>154</v>
      </c>
      <c r="D94" t="s">
        <v>60</v>
      </c>
      <c r="E94" t="s">
        <v>61</v>
      </c>
      <c r="F94" t="s">
        <v>25</v>
      </c>
      <c r="G94" t="s">
        <v>26</v>
      </c>
      <c r="H94" t="s">
        <v>48</v>
      </c>
      <c r="I94">
        <v>4</v>
      </c>
      <c r="J94">
        <v>6931.2</v>
      </c>
      <c r="K94">
        <v>907.33</v>
      </c>
      <c r="L94">
        <v>20</v>
      </c>
      <c r="M94" t="s">
        <v>49</v>
      </c>
      <c r="N94" t="str">
        <f>TEXT(Table1[[#This Row],[Order Date]],"MMMM")</f>
        <v>April</v>
      </c>
      <c r="O94">
        <f>YEAR(Table1[[#This Row],[Order Date]])</f>
        <v>2025</v>
      </c>
      <c r="P94" t="str">
        <f>"Q"&amp;ROUNDUP(MONTH(Table1[[#This Row],[Order Date]])/3,0)</f>
        <v>Q2</v>
      </c>
      <c r="Q94" s="3">
        <f>Table1[[#This Row],[Profit]]/Table1[[#This Row],[Sales]]</f>
        <v>0.13090518236380425</v>
      </c>
      <c r="R94" t="str">
        <f>IF(Table1[[#This Row],[Sales]]&lt;1000,"LOW",IF(Table1[[#This Row],[Sales]]&lt;5000,"MEDIUM","HIGH"))</f>
        <v>HIGH</v>
      </c>
      <c r="S94" s="2">
        <f>Table1[[#This Row],[Discount]]/100</f>
        <v>0.2</v>
      </c>
    </row>
    <row r="95" spans="1:19" x14ac:dyDescent="0.3">
      <c r="A95">
        <v>10094</v>
      </c>
      <c r="B95" s="1" t="s">
        <v>218</v>
      </c>
      <c r="C95" t="s">
        <v>219</v>
      </c>
      <c r="D95" t="s">
        <v>52</v>
      </c>
      <c r="E95" t="s">
        <v>53</v>
      </c>
      <c r="F95" t="s">
        <v>17</v>
      </c>
      <c r="G95" t="s">
        <v>43</v>
      </c>
      <c r="H95" t="s">
        <v>44</v>
      </c>
      <c r="I95">
        <v>6</v>
      </c>
      <c r="J95">
        <v>26622</v>
      </c>
      <c r="K95">
        <v>7585.85</v>
      </c>
      <c r="L95">
        <v>10</v>
      </c>
      <c r="M95" t="s">
        <v>49</v>
      </c>
      <c r="N95" t="str">
        <f>TEXT(Table1[[#This Row],[Order Date]],"MMMM")</f>
        <v>July</v>
      </c>
      <c r="O95">
        <f>YEAR(Table1[[#This Row],[Order Date]])</f>
        <v>2025</v>
      </c>
      <c r="P95" t="str">
        <f>"Q"&amp;ROUNDUP(MONTH(Table1[[#This Row],[Order Date]])/3,0)</f>
        <v>Q3</v>
      </c>
      <c r="Q95" s="3">
        <f>Table1[[#This Row],[Profit]]/Table1[[#This Row],[Sales]]</f>
        <v>0.28494666065659979</v>
      </c>
      <c r="R95" t="str">
        <f>IF(Table1[[#This Row],[Sales]]&lt;1000,"LOW",IF(Table1[[#This Row],[Sales]]&lt;5000,"MEDIUM","HIGH"))</f>
        <v>HIGH</v>
      </c>
      <c r="S95" s="2">
        <f>Table1[[#This Row],[Discount]]/100</f>
        <v>0.1</v>
      </c>
    </row>
    <row r="96" spans="1:19" x14ac:dyDescent="0.3">
      <c r="A96">
        <v>10095</v>
      </c>
      <c r="B96" s="1" t="s">
        <v>220</v>
      </c>
      <c r="C96" t="s">
        <v>98</v>
      </c>
      <c r="D96" t="s">
        <v>36</v>
      </c>
      <c r="E96" t="s">
        <v>37</v>
      </c>
      <c r="F96" t="s">
        <v>31</v>
      </c>
      <c r="G96" t="s">
        <v>124</v>
      </c>
      <c r="H96" t="s">
        <v>125</v>
      </c>
      <c r="I96">
        <v>6</v>
      </c>
      <c r="J96">
        <v>11475</v>
      </c>
      <c r="K96">
        <v>2548.42</v>
      </c>
      <c r="L96">
        <v>15</v>
      </c>
      <c r="M96" t="s">
        <v>40</v>
      </c>
      <c r="N96" t="str">
        <f>TEXT(Table1[[#This Row],[Order Date]],"MMMM")</f>
        <v>July</v>
      </c>
      <c r="O96">
        <f>YEAR(Table1[[#This Row],[Order Date]])</f>
        <v>2025</v>
      </c>
      <c r="P96" t="str">
        <f>"Q"&amp;ROUNDUP(MONTH(Table1[[#This Row],[Order Date]])/3,0)</f>
        <v>Q3</v>
      </c>
      <c r="Q96" s="3">
        <f>Table1[[#This Row],[Profit]]/Table1[[#This Row],[Sales]]</f>
        <v>0.22208453159041394</v>
      </c>
      <c r="R96" t="str">
        <f>IF(Table1[[#This Row],[Sales]]&lt;1000,"LOW",IF(Table1[[#This Row],[Sales]]&lt;5000,"MEDIUM","HIGH"))</f>
        <v>HIGH</v>
      </c>
      <c r="S96" s="2">
        <f>Table1[[#This Row],[Discount]]/100</f>
        <v>0.15</v>
      </c>
    </row>
    <row r="97" spans="1:19" x14ac:dyDescent="0.3">
      <c r="A97">
        <v>10096</v>
      </c>
      <c r="B97" s="1" t="s">
        <v>221</v>
      </c>
      <c r="C97" t="s">
        <v>222</v>
      </c>
      <c r="D97" t="s">
        <v>74</v>
      </c>
      <c r="E97" t="s">
        <v>74</v>
      </c>
      <c r="F97" t="s">
        <v>17</v>
      </c>
      <c r="G97" t="s">
        <v>75</v>
      </c>
      <c r="H97" t="s">
        <v>116</v>
      </c>
      <c r="I97">
        <v>1</v>
      </c>
      <c r="J97">
        <v>3069.6</v>
      </c>
      <c r="K97">
        <v>355.3</v>
      </c>
      <c r="L97">
        <v>20</v>
      </c>
      <c r="M97" t="s">
        <v>49</v>
      </c>
      <c r="N97" t="str">
        <f>TEXT(Table1[[#This Row],[Order Date]],"MMMM")</f>
        <v>March</v>
      </c>
      <c r="O97">
        <f>YEAR(Table1[[#This Row],[Order Date]])</f>
        <v>2025</v>
      </c>
      <c r="P97" t="str">
        <f>"Q"&amp;ROUNDUP(MONTH(Table1[[#This Row],[Order Date]])/3,0)</f>
        <v>Q1</v>
      </c>
      <c r="Q97" s="3">
        <f>Table1[[#This Row],[Profit]]/Table1[[#This Row],[Sales]]</f>
        <v>0.11574798019285901</v>
      </c>
      <c r="R97" t="str">
        <f>IF(Table1[[#This Row],[Sales]]&lt;1000,"LOW",IF(Table1[[#This Row],[Sales]]&lt;5000,"MEDIUM","HIGH"))</f>
        <v>MEDIUM</v>
      </c>
      <c r="S97" s="2">
        <f>Table1[[#This Row],[Discount]]/100</f>
        <v>0.2</v>
      </c>
    </row>
    <row r="98" spans="1:19" x14ac:dyDescent="0.3">
      <c r="A98">
        <v>10097</v>
      </c>
      <c r="B98" s="1" t="s">
        <v>54</v>
      </c>
      <c r="C98" t="s">
        <v>68</v>
      </c>
      <c r="D98" t="s">
        <v>23</v>
      </c>
      <c r="E98" t="s">
        <v>24</v>
      </c>
      <c r="F98" t="s">
        <v>17</v>
      </c>
      <c r="G98" t="s">
        <v>43</v>
      </c>
      <c r="H98" t="s">
        <v>44</v>
      </c>
      <c r="I98">
        <v>7</v>
      </c>
      <c r="J98">
        <v>23954</v>
      </c>
      <c r="K98">
        <v>2537.11</v>
      </c>
      <c r="L98">
        <v>0</v>
      </c>
      <c r="M98" t="s">
        <v>45</v>
      </c>
      <c r="N98" t="str">
        <f>TEXT(Table1[[#This Row],[Order Date]],"MMMM")</f>
        <v>February</v>
      </c>
      <c r="O98">
        <f>YEAR(Table1[[#This Row],[Order Date]])</f>
        <v>2025</v>
      </c>
      <c r="P98" t="str">
        <f>"Q"&amp;ROUNDUP(MONTH(Table1[[#This Row],[Order Date]])/3,0)</f>
        <v>Q1</v>
      </c>
      <c r="Q98" s="3">
        <f>Table1[[#This Row],[Profit]]/Table1[[#This Row],[Sales]]</f>
        <v>0.10591592218418636</v>
      </c>
      <c r="R98" t="str">
        <f>IF(Table1[[#This Row],[Sales]]&lt;1000,"LOW",IF(Table1[[#This Row],[Sales]]&lt;5000,"MEDIUM","HIGH"))</f>
        <v>HIGH</v>
      </c>
      <c r="S98" s="2">
        <f>Table1[[#This Row],[Discount]]/100</f>
        <v>0</v>
      </c>
    </row>
    <row r="99" spans="1:19" x14ac:dyDescent="0.3">
      <c r="A99">
        <v>10098</v>
      </c>
      <c r="B99" s="1" t="s">
        <v>173</v>
      </c>
      <c r="C99" t="s">
        <v>98</v>
      </c>
      <c r="D99" t="s">
        <v>66</v>
      </c>
      <c r="E99" t="s">
        <v>16</v>
      </c>
      <c r="F99" t="s">
        <v>31</v>
      </c>
      <c r="G99" t="s">
        <v>32</v>
      </c>
      <c r="H99" t="s">
        <v>33</v>
      </c>
      <c r="I99">
        <v>2</v>
      </c>
      <c r="J99">
        <v>3570</v>
      </c>
      <c r="K99">
        <v>523.82000000000005</v>
      </c>
      <c r="L99">
        <v>0</v>
      </c>
      <c r="M99" t="s">
        <v>28</v>
      </c>
      <c r="N99" t="str">
        <f>TEXT(Table1[[#This Row],[Order Date]],"MMMM")</f>
        <v>August</v>
      </c>
      <c r="O99">
        <f>YEAR(Table1[[#This Row],[Order Date]])</f>
        <v>2025</v>
      </c>
      <c r="P99" t="str">
        <f>"Q"&amp;ROUNDUP(MONTH(Table1[[#This Row],[Order Date]])/3,0)</f>
        <v>Q3</v>
      </c>
      <c r="Q99" s="3">
        <f>Table1[[#This Row],[Profit]]/Table1[[#This Row],[Sales]]</f>
        <v>0.14672829131652662</v>
      </c>
      <c r="R99" t="str">
        <f>IF(Table1[[#This Row],[Sales]]&lt;1000,"LOW",IF(Table1[[#This Row],[Sales]]&lt;5000,"MEDIUM","HIGH"))</f>
        <v>MEDIUM</v>
      </c>
      <c r="S99" s="2">
        <f>Table1[[#This Row],[Discount]]/100</f>
        <v>0</v>
      </c>
    </row>
    <row r="100" spans="1:19" x14ac:dyDescent="0.3">
      <c r="A100">
        <v>10099</v>
      </c>
      <c r="B100" s="1" t="s">
        <v>41</v>
      </c>
      <c r="C100" t="s">
        <v>223</v>
      </c>
      <c r="D100" t="s">
        <v>23</v>
      </c>
      <c r="E100" t="s">
        <v>24</v>
      </c>
      <c r="F100" t="s">
        <v>31</v>
      </c>
      <c r="G100" t="s">
        <v>38</v>
      </c>
      <c r="H100" t="s">
        <v>39</v>
      </c>
      <c r="I100">
        <v>4</v>
      </c>
      <c r="J100">
        <v>16816.400000000001</v>
      </c>
      <c r="K100">
        <v>1455.1</v>
      </c>
      <c r="L100">
        <v>15</v>
      </c>
      <c r="M100" t="s">
        <v>40</v>
      </c>
      <c r="N100" t="str">
        <f>TEXT(Table1[[#This Row],[Order Date]],"MMMM")</f>
        <v>April</v>
      </c>
      <c r="O100">
        <f>YEAR(Table1[[#This Row],[Order Date]])</f>
        <v>2025</v>
      </c>
      <c r="P100" t="str">
        <f>"Q"&amp;ROUNDUP(MONTH(Table1[[#This Row],[Order Date]])/3,0)</f>
        <v>Q2</v>
      </c>
      <c r="Q100" s="3">
        <f>Table1[[#This Row],[Profit]]/Table1[[#This Row],[Sales]]</f>
        <v>8.6528626816678944E-2</v>
      </c>
      <c r="R100" t="str">
        <f>IF(Table1[[#This Row],[Sales]]&lt;1000,"LOW",IF(Table1[[#This Row],[Sales]]&lt;5000,"MEDIUM","HIGH"))</f>
        <v>HIGH</v>
      </c>
      <c r="S100" s="2">
        <f>Table1[[#This Row],[Discount]]/100</f>
        <v>0.15</v>
      </c>
    </row>
    <row r="101" spans="1:19" x14ac:dyDescent="0.3">
      <c r="A101">
        <v>10100</v>
      </c>
      <c r="B101" s="1" t="s">
        <v>224</v>
      </c>
      <c r="C101" t="s">
        <v>225</v>
      </c>
      <c r="D101" t="s">
        <v>36</v>
      </c>
      <c r="E101" t="s">
        <v>37</v>
      </c>
      <c r="F101" t="s">
        <v>17</v>
      </c>
      <c r="G101" t="s">
        <v>43</v>
      </c>
      <c r="H101" t="s">
        <v>44</v>
      </c>
      <c r="I101">
        <v>3</v>
      </c>
      <c r="J101">
        <v>2001.75</v>
      </c>
      <c r="K101">
        <v>297.33999999999997</v>
      </c>
      <c r="L101">
        <v>15</v>
      </c>
      <c r="M101" t="s">
        <v>40</v>
      </c>
      <c r="N101" t="str">
        <f>TEXT(Table1[[#This Row],[Order Date]],"MMMM")</f>
        <v>August</v>
      </c>
      <c r="O101">
        <f>YEAR(Table1[[#This Row],[Order Date]])</f>
        <v>2025</v>
      </c>
      <c r="P101" t="str">
        <f>"Q"&amp;ROUNDUP(MONTH(Table1[[#This Row],[Order Date]])/3,0)</f>
        <v>Q3</v>
      </c>
      <c r="Q101" s="3">
        <f>Table1[[#This Row],[Profit]]/Table1[[#This Row],[Sales]]</f>
        <v>0.14854002747595851</v>
      </c>
      <c r="R101" t="str">
        <f>IF(Table1[[#This Row],[Sales]]&lt;1000,"LOW",IF(Table1[[#This Row],[Sales]]&lt;5000,"MEDIUM","HIGH"))</f>
        <v>MEDIUM</v>
      </c>
      <c r="S101" s="2">
        <f>Table1[[#This Row],[Discount]]/100</f>
        <v>0.15</v>
      </c>
    </row>
    <row r="102" spans="1:19" x14ac:dyDescent="0.3">
      <c r="A102">
        <v>10101</v>
      </c>
      <c r="B102" s="1" t="s">
        <v>226</v>
      </c>
      <c r="C102" t="s">
        <v>182</v>
      </c>
      <c r="D102" t="s">
        <v>36</v>
      </c>
      <c r="E102" t="s">
        <v>37</v>
      </c>
      <c r="F102" t="s">
        <v>31</v>
      </c>
      <c r="G102" t="s">
        <v>38</v>
      </c>
      <c r="H102" t="s">
        <v>39</v>
      </c>
      <c r="I102">
        <v>7</v>
      </c>
      <c r="J102">
        <v>3332</v>
      </c>
      <c r="K102">
        <v>883.48</v>
      </c>
      <c r="L102">
        <v>15</v>
      </c>
      <c r="M102" t="s">
        <v>49</v>
      </c>
      <c r="N102" t="str">
        <f>TEXT(Table1[[#This Row],[Order Date]],"MMMM")</f>
        <v>December</v>
      </c>
      <c r="O102">
        <f>YEAR(Table1[[#This Row],[Order Date]])</f>
        <v>2025</v>
      </c>
      <c r="P102" t="str">
        <f>"Q"&amp;ROUNDUP(MONTH(Table1[[#This Row],[Order Date]])/3,0)</f>
        <v>Q4</v>
      </c>
      <c r="Q102" s="3">
        <f>Table1[[#This Row],[Profit]]/Table1[[#This Row],[Sales]]</f>
        <v>0.26515006002400959</v>
      </c>
      <c r="R102" t="str">
        <f>IF(Table1[[#This Row],[Sales]]&lt;1000,"LOW",IF(Table1[[#This Row],[Sales]]&lt;5000,"MEDIUM","HIGH"))</f>
        <v>MEDIUM</v>
      </c>
      <c r="S102" s="2">
        <f>Table1[[#This Row],[Discount]]/100</f>
        <v>0.15</v>
      </c>
    </row>
    <row r="103" spans="1:19" x14ac:dyDescent="0.3">
      <c r="A103">
        <v>10102</v>
      </c>
      <c r="B103" s="1" t="s">
        <v>218</v>
      </c>
      <c r="C103" t="s">
        <v>189</v>
      </c>
      <c r="D103" t="s">
        <v>15</v>
      </c>
      <c r="E103" t="s">
        <v>16</v>
      </c>
      <c r="F103" t="s">
        <v>25</v>
      </c>
      <c r="G103" t="s">
        <v>26</v>
      </c>
      <c r="H103" t="s">
        <v>71</v>
      </c>
      <c r="I103">
        <v>4</v>
      </c>
      <c r="J103">
        <v>15348.2</v>
      </c>
      <c r="K103">
        <v>3217.52</v>
      </c>
      <c r="L103">
        <v>5</v>
      </c>
      <c r="M103" t="s">
        <v>45</v>
      </c>
      <c r="N103" t="str">
        <f>TEXT(Table1[[#This Row],[Order Date]],"MMMM")</f>
        <v>July</v>
      </c>
      <c r="O103">
        <f>YEAR(Table1[[#This Row],[Order Date]])</f>
        <v>2025</v>
      </c>
      <c r="P103" t="str">
        <f>"Q"&amp;ROUNDUP(MONTH(Table1[[#This Row],[Order Date]])/3,0)</f>
        <v>Q3</v>
      </c>
      <c r="Q103" s="3">
        <f>Table1[[#This Row],[Profit]]/Table1[[#This Row],[Sales]]</f>
        <v>0.20963500605934246</v>
      </c>
      <c r="R103" t="str">
        <f>IF(Table1[[#This Row],[Sales]]&lt;1000,"LOW",IF(Table1[[#This Row],[Sales]]&lt;5000,"MEDIUM","HIGH"))</f>
        <v>HIGH</v>
      </c>
      <c r="S103" s="2">
        <f>Table1[[#This Row],[Discount]]/100</f>
        <v>0.05</v>
      </c>
    </row>
    <row r="104" spans="1:19" x14ac:dyDescent="0.3">
      <c r="A104">
        <v>10103</v>
      </c>
      <c r="B104" s="1" t="s">
        <v>227</v>
      </c>
      <c r="C104" t="s">
        <v>228</v>
      </c>
      <c r="D104" t="s">
        <v>36</v>
      </c>
      <c r="E104" t="s">
        <v>37</v>
      </c>
      <c r="F104" t="s">
        <v>17</v>
      </c>
      <c r="G104" t="s">
        <v>18</v>
      </c>
      <c r="H104" t="s">
        <v>19</v>
      </c>
      <c r="I104">
        <v>3</v>
      </c>
      <c r="J104">
        <v>5586.3</v>
      </c>
      <c r="K104">
        <v>1116.25</v>
      </c>
      <c r="L104">
        <v>10</v>
      </c>
      <c r="M104" t="s">
        <v>40</v>
      </c>
      <c r="N104" t="str">
        <f>TEXT(Table1[[#This Row],[Order Date]],"MMMM")</f>
        <v>October</v>
      </c>
      <c r="O104">
        <f>YEAR(Table1[[#This Row],[Order Date]])</f>
        <v>2025</v>
      </c>
      <c r="P104" t="str">
        <f>"Q"&amp;ROUNDUP(MONTH(Table1[[#This Row],[Order Date]])/3,0)</f>
        <v>Q4</v>
      </c>
      <c r="Q104" s="3">
        <f>Table1[[#This Row],[Profit]]/Table1[[#This Row],[Sales]]</f>
        <v>0.19981920054418845</v>
      </c>
      <c r="R104" t="str">
        <f>IF(Table1[[#This Row],[Sales]]&lt;1000,"LOW",IF(Table1[[#This Row],[Sales]]&lt;5000,"MEDIUM","HIGH"))</f>
        <v>HIGH</v>
      </c>
      <c r="S104" s="2">
        <f>Table1[[#This Row],[Discount]]/100</f>
        <v>0.1</v>
      </c>
    </row>
    <row r="105" spans="1:19" x14ac:dyDescent="0.3">
      <c r="A105">
        <v>10104</v>
      </c>
      <c r="B105" s="1" t="s">
        <v>229</v>
      </c>
      <c r="C105" t="s">
        <v>148</v>
      </c>
      <c r="D105" t="s">
        <v>66</v>
      </c>
      <c r="E105" t="s">
        <v>16</v>
      </c>
      <c r="F105" t="s">
        <v>31</v>
      </c>
      <c r="G105" t="s">
        <v>124</v>
      </c>
      <c r="H105" t="s">
        <v>125</v>
      </c>
      <c r="I105">
        <v>3</v>
      </c>
      <c r="J105">
        <v>9351</v>
      </c>
      <c r="K105">
        <v>1190.31</v>
      </c>
      <c r="L105">
        <v>0</v>
      </c>
      <c r="M105" t="s">
        <v>20</v>
      </c>
      <c r="N105" t="str">
        <f>TEXT(Table1[[#This Row],[Order Date]],"MMMM")</f>
        <v>July</v>
      </c>
      <c r="O105">
        <f>YEAR(Table1[[#This Row],[Order Date]])</f>
        <v>2025</v>
      </c>
      <c r="P105" t="str">
        <f>"Q"&amp;ROUNDUP(MONTH(Table1[[#This Row],[Order Date]])/3,0)</f>
        <v>Q3</v>
      </c>
      <c r="Q105" s="3">
        <f>Table1[[#This Row],[Profit]]/Table1[[#This Row],[Sales]]</f>
        <v>0.12729226820660891</v>
      </c>
      <c r="R105" t="str">
        <f>IF(Table1[[#This Row],[Sales]]&lt;1000,"LOW",IF(Table1[[#This Row],[Sales]]&lt;5000,"MEDIUM","HIGH"))</f>
        <v>HIGH</v>
      </c>
      <c r="S105" s="2">
        <f>Table1[[#This Row],[Discount]]/100</f>
        <v>0</v>
      </c>
    </row>
    <row r="106" spans="1:19" x14ac:dyDescent="0.3">
      <c r="A106">
        <v>10105</v>
      </c>
      <c r="B106" s="1" t="s">
        <v>230</v>
      </c>
      <c r="C106" t="s">
        <v>231</v>
      </c>
      <c r="D106" t="s">
        <v>36</v>
      </c>
      <c r="E106" t="s">
        <v>37</v>
      </c>
      <c r="F106" t="s">
        <v>25</v>
      </c>
      <c r="G106" t="s">
        <v>26</v>
      </c>
      <c r="H106" t="s">
        <v>27</v>
      </c>
      <c r="I106">
        <v>2</v>
      </c>
      <c r="J106">
        <v>9412.6</v>
      </c>
      <c r="K106">
        <v>867.14</v>
      </c>
      <c r="L106">
        <v>5</v>
      </c>
      <c r="M106" t="s">
        <v>45</v>
      </c>
      <c r="N106" t="str">
        <f>TEXT(Table1[[#This Row],[Order Date]],"MMMM")</f>
        <v>February</v>
      </c>
      <c r="O106">
        <f>YEAR(Table1[[#This Row],[Order Date]])</f>
        <v>2025</v>
      </c>
      <c r="P106" t="str">
        <f>"Q"&amp;ROUNDUP(MONTH(Table1[[#This Row],[Order Date]])/3,0)</f>
        <v>Q1</v>
      </c>
      <c r="Q106" s="3">
        <f>Table1[[#This Row],[Profit]]/Table1[[#This Row],[Sales]]</f>
        <v>9.2125448866413107E-2</v>
      </c>
      <c r="R106" t="str">
        <f>IF(Table1[[#This Row],[Sales]]&lt;1000,"LOW",IF(Table1[[#This Row],[Sales]]&lt;5000,"MEDIUM","HIGH"))</f>
        <v>HIGH</v>
      </c>
      <c r="S106" s="2">
        <f>Table1[[#This Row],[Discount]]/100</f>
        <v>0.05</v>
      </c>
    </row>
    <row r="107" spans="1:19" x14ac:dyDescent="0.3">
      <c r="A107">
        <v>10106</v>
      </c>
      <c r="B107" s="1" t="s">
        <v>232</v>
      </c>
      <c r="C107" t="s">
        <v>233</v>
      </c>
      <c r="D107" t="s">
        <v>52</v>
      </c>
      <c r="E107" t="s">
        <v>53</v>
      </c>
      <c r="F107" t="s">
        <v>17</v>
      </c>
      <c r="G107" t="s">
        <v>75</v>
      </c>
      <c r="H107" t="s">
        <v>116</v>
      </c>
      <c r="I107">
        <v>6</v>
      </c>
      <c r="J107">
        <v>10600.2</v>
      </c>
      <c r="K107">
        <v>2686.03</v>
      </c>
      <c r="L107">
        <v>10</v>
      </c>
      <c r="M107" t="s">
        <v>28</v>
      </c>
      <c r="N107" t="str">
        <f>TEXT(Table1[[#This Row],[Order Date]],"MMMM")</f>
        <v>November</v>
      </c>
      <c r="O107">
        <f>YEAR(Table1[[#This Row],[Order Date]])</f>
        <v>2025</v>
      </c>
      <c r="P107" t="str">
        <f>"Q"&amp;ROUNDUP(MONTH(Table1[[#This Row],[Order Date]])/3,0)</f>
        <v>Q4</v>
      </c>
      <c r="Q107" s="3">
        <f>Table1[[#This Row],[Profit]]/Table1[[#This Row],[Sales]]</f>
        <v>0.25339427557970606</v>
      </c>
      <c r="R107" t="str">
        <f>IF(Table1[[#This Row],[Sales]]&lt;1000,"LOW",IF(Table1[[#This Row],[Sales]]&lt;5000,"MEDIUM","HIGH"))</f>
        <v>HIGH</v>
      </c>
      <c r="S107" s="2">
        <f>Table1[[#This Row],[Discount]]/100</f>
        <v>0.1</v>
      </c>
    </row>
    <row r="108" spans="1:19" x14ac:dyDescent="0.3">
      <c r="A108">
        <v>10107</v>
      </c>
      <c r="B108" s="1" t="s">
        <v>234</v>
      </c>
      <c r="C108" t="s">
        <v>235</v>
      </c>
      <c r="D108" t="s">
        <v>56</v>
      </c>
      <c r="E108" t="s">
        <v>57</v>
      </c>
      <c r="F108" t="s">
        <v>25</v>
      </c>
      <c r="G108" t="s">
        <v>26</v>
      </c>
      <c r="H108" t="s">
        <v>27</v>
      </c>
      <c r="I108">
        <v>7</v>
      </c>
      <c r="J108">
        <v>1405.6</v>
      </c>
      <c r="K108">
        <v>333.5</v>
      </c>
      <c r="L108">
        <v>20</v>
      </c>
      <c r="M108" t="s">
        <v>20</v>
      </c>
      <c r="N108" t="str">
        <f>TEXT(Table1[[#This Row],[Order Date]],"MMMM")</f>
        <v>March</v>
      </c>
      <c r="O108">
        <f>YEAR(Table1[[#This Row],[Order Date]])</f>
        <v>2025</v>
      </c>
      <c r="P108" t="str">
        <f>"Q"&amp;ROUNDUP(MONTH(Table1[[#This Row],[Order Date]])/3,0)</f>
        <v>Q1</v>
      </c>
      <c r="Q108" s="3">
        <f>Table1[[#This Row],[Profit]]/Table1[[#This Row],[Sales]]</f>
        <v>0.23726522481502563</v>
      </c>
      <c r="R108" t="str">
        <f>IF(Table1[[#This Row],[Sales]]&lt;1000,"LOW",IF(Table1[[#This Row],[Sales]]&lt;5000,"MEDIUM","HIGH"))</f>
        <v>MEDIUM</v>
      </c>
      <c r="S108" s="2">
        <f>Table1[[#This Row],[Discount]]/100</f>
        <v>0.2</v>
      </c>
    </row>
    <row r="109" spans="1:19" x14ac:dyDescent="0.3">
      <c r="A109">
        <v>10108</v>
      </c>
      <c r="B109" s="1" t="s">
        <v>236</v>
      </c>
      <c r="C109" t="s">
        <v>189</v>
      </c>
      <c r="D109" t="s">
        <v>36</v>
      </c>
      <c r="E109" t="s">
        <v>37</v>
      </c>
      <c r="F109" t="s">
        <v>17</v>
      </c>
      <c r="G109" t="s">
        <v>18</v>
      </c>
      <c r="H109" t="s">
        <v>19</v>
      </c>
      <c r="I109">
        <v>1</v>
      </c>
      <c r="J109">
        <v>4341</v>
      </c>
      <c r="K109">
        <v>1238.32</v>
      </c>
      <c r="L109">
        <v>0</v>
      </c>
      <c r="M109" t="s">
        <v>20</v>
      </c>
      <c r="N109" t="str">
        <f>TEXT(Table1[[#This Row],[Order Date]],"MMMM")</f>
        <v>April</v>
      </c>
      <c r="O109">
        <f>YEAR(Table1[[#This Row],[Order Date]])</f>
        <v>2025</v>
      </c>
      <c r="P109" t="str">
        <f>"Q"&amp;ROUNDUP(MONTH(Table1[[#This Row],[Order Date]])/3,0)</f>
        <v>Q2</v>
      </c>
      <c r="Q109" s="3">
        <f>Table1[[#This Row],[Profit]]/Table1[[#This Row],[Sales]]</f>
        <v>0.28526146049297396</v>
      </c>
      <c r="R109" t="str">
        <f>IF(Table1[[#This Row],[Sales]]&lt;1000,"LOW",IF(Table1[[#This Row],[Sales]]&lt;5000,"MEDIUM","HIGH"))</f>
        <v>MEDIUM</v>
      </c>
      <c r="S109" s="2">
        <f>Table1[[#This Row],[Discount]]/100</f>
        <v>0</v>
      </c>
    </row>
    <row r="110" spans="1:19" x14ac:dyDescent="0.3">
      <c r="A110">
        <v>10109</v>
      </c>
      <c r="B110" s="1" t="s">
        <v>237</v>
      </c>
      <c r="C110" t="s">
        <v>238</v>
      </c>
      <c r="D110" t="s">
        <v>52</v>
      </c>
      <c r="E110" t="s">
        <v>53</v>
      </c>
      <c r="F110" t="s">
        <v>25</v>
      </c>
      <c r="G110" t="s">
        <v>26</v>
      </c>
      <c r="H110" t="s">
        <v>27</v>
      </c>
      <c r="I110">
        <v>1</v>
      </c>
      <c r="J110">
        <v>1799.1</v>
      </c>
      <c r="K110">
        <v>510.42</v>
      </c>
      <c r="L110">
        <v>10</v>
      </c>
      <c r="M110" t="s">
        <v>49</v>
      </c>
      <c r="N110" t="str">
        <f>TEXT(Table1[[#This Row],[Order Date]],"MMMM")</f>
        <v>November</v>
      </c>
      <c r="O110">
        <f>YEAR(Table1[[#This Row],[Order Date]])</f>
        <v>2025</v>
      </c>
      <c r="P110" t="str">
        <f>"Q"&amp;ROUNDUP(MONTH(Table1[[#This Row],[Order Date]])/3,0)</f>
        <v>Q4</v>
      </c>
      <c r="Q110" s="3">
        <f>Table1[[#This Row],[Profit]]/Table1[[#This Row],[Sales]]</f>
        <v>0.28370852092713028</v>
      </c>
      <c r="R110" t="str">
        <f>IF(Table1[[#This Row],[Sales]]&lt;1000,"LOW",IF(Table1[[#This Row],[Sales]]&lt;5000,"MEDIUM","HIGH"))</f>
        <v>MEDIUM</v>
      </c>
      <c r="S110" s="2">
        <f>Table1[[#This Row],[Discount]]/100</f>
        <v>0.1</v>
      </c>
    </row>
    <row r="111" spans="1:19" x14ac:dyDescent="0.3">
      <c r="A111">
        <v>10110</v>
      </c>
      <c r="B111" s="1" t="s">
        <v>239</v>
      </c>
      <c r="C111" t="s">
        <v>214</v>
      </c>
      <c r="D111" t="s">
        <v>60</v>
      </c>
      <c r="E111" t="s">
        <v>61</v>
      </c>
      <c r="F111" t="s">
        <v>17</v>
      </c>
      <c r="G111" t="s">
        <v>18</v>
      </c>
      <c r="H111" t="s">
        <v>19</v>
      </c>
      <c r="I111">
        <v>6</v>
      </c>
      <c r="J111">
        <v>2490.9</v>
      </c>
      <c r="K111">
        <v>462.59</v>
      </c>
      <c r="L111">
        <v>5</v>
      </c>
      <c r="M111" t="s">
        <v>49</v>
      </c>
      <c r="N111" t="str">
        <f>TEXT(Table1[[#This Row],[Order Date]],"MMMM")</f>
        <v>January</v>
      </c>
      <c r="O111">
        <f>YEAR(Table1[[#This Row],[Order Date]])</f>
        <v>2025</v>
      </c>
      <c r="P111" t="str">
        <f>"Q"&amp;ROUNDUP(MONTH(Table1[[#This Row],[Order Date]])/3,0)</f>
        <v>Q1</v>
      </c>
      <c r="Q111" s="3">
        <f>Table1[[#This Row],[Profit]]/Table1[[#This Row],[Sales]]</f>
        <v>0.18571199164960456</v>
      </c>
      <c r="R111" t="str">
        <f>IF(Table1[[#This Row],[Sales]]&lt;1000,"LOW",IF(Table1[[#This Row],[Sales]]&lt;5000,"MEDIUM","HIGH"))</f>
        <v>MEDIUM</v>
      </c>
      <c r="S111" s="2">
        <f>Table1[[#This Row],[Discount]]/100</f>
        <v>0.05</v>
      </c>
    </row>
    <row r="112" spans="1:19" x14ac:dyDescent="0.3">
      <c r="A112">
        <v>10111</v>
      </c>
      <c r="B112" s="1" t="s">
        <v>240</v>
      </c>
      <c r="C112" t="s">
        <v>241</v>
      </c>
      <c r="D112" t="s">
        <v>56</v>
      </c>
      <c r="E112" t="s">
        <v>57</v>
      </c>
      <c r="F112" t="s">
        <v>25</v>
      </c>
      <c r="G112" t="s">
        <v>95</v>
      </c>
      <c r="H112" t="s">
        <v>96</v>
      </c>
      <c r="I112">
        <v>1</v>
      </c>
      <c r="J112">
        <v>370</v>
      </c>
      <c r="K112">
        <v>64.760000000000005</v>
      </c>
      <c r="L112">
        <v>0</v>
      </c>
      <c r="M112" t="s">
        <v>49</v>
      </c>
      <c r="N112" t="str">
        <f>TEXT(Table1[[#This Row],[Order Date]],"MMMM")</f>
        <v>November</v>
      </c>
      <c r="O112">
        <f>YEAR(Table1[[#This Row],[Order Date]])</f>
        <v>2025</v>
      </c>
      <c r="P112" t="str">
        <f>"Q"&amp;ROUNDUP(MONTH(Table1[[#This Row],[Order Date]])/3,0)</f>
        <v>Q4</v>
      </c>
      <c r="Q112" s="3">
        <f>Table1[[#This Row],[Profit]]/Table1[[#This Row],[Sales]]</f>
        <v>0.17502702702702705</v>
      </c>
      <c r="R112" t="str">
        <f>IF(Table1[[#This Row],[Sales]]&lt;1000,"LOW",IF(Table1[[#This Row],[Sales]]&lt;5000,"MEDIUM","HIGH"))</f>
        <v>LOW</v>
      </c>
      <c r="S112" s="2">
        <f>Table1[[#This Row],[Discount]]/100</f>
        <v>0</v>
      </c>
    </row>
    <row r="113" spans="1:19" x14ac:dyDescent="0.3">
      <c r="A113">
        <v>10112</v>
      </c>
      <c r="B113" s="1" t="s">
        <v>242</v>
      </c>
      <c r="C113" t="s">
        <v>166</v>
      </c>
      <c r="D113" t="s">
        <v>56</v>
      </c>
      <c r="E113" t="s">
        <v>57</v>
      </c>
      <c r="F113" t="s">
        <v>25</v>
      </c>
      <c r="G113" t="s">
        <v>95</v>
      </c>
      <c r="H113" t="s">
        <v>96</v>
      </c>
      <c r="I113">
        <v>2</v>
      </c>
      <c r="J113">
        <v>6694.2</v>
      </c>
      <c r="K113">
        <v>1714.96</v>
      </c>
      <c r="L113">
        <v>10</v>
      </c>
      <c r="M113" t="s">
        <v>28</v>
      </c>
      <c r="N113" t="str">
        <f>TEXT(Table1[[#This Row],[Order Date]],"MMMM")</f>
        <v>November</v>
      </c>
      <c r="O113">
        <f>YEAR(Table1[[#This Row],[Order Date]])</f>
        <v>2025</v>
      </c>
      <c r="P113" t="str">
        <f>"Q"&amp;ROUNDUP(MONTH(Table1[[#This Row],[Order Date]])/3,0)</f>
        <v>Q4</v>
      </c>
      <c r="Q113" s="3">
        <f>Table1[[#This Row],[Profit]]/Table1[[#This Row],[Sales]]</f>
        <v>0.25618595201816496</v>
      </c>
      <c r="R113" t="str">
        <f>IF(Table1[[#This Row],[Sales]]&lt;1000,"LOW",IF(Table1[[#This Row],[Sales]]&lt;5000,"MEDIUM","HIGH"))</f>
        <v>HIGH</v>
      </c>
      <c r="S113" s="2">
        <f>Table1[[#This Row],[Discount]]/100</f>
        <v>0.1</v>
      </c>
    </row>
    <row r="114" spans="1:19" x14ac:dyDescent="0.3">
      <c r="A114">
        <v>10113</v>
      </c>
      <c r="B114" s="1" t="s">
        <v>243</v>
      </c>
      <c r="C114" t="s">
        <v>244</v>
      </c>
      <c r="D114" t="s">
        <v>23</v>
      </c>
      <c r="E114" t="s">
        <v>24</v>
      </c>
      <c r="F114" t="s">
        <v>31</v>
      </c>
      <c r="G114" t="s">
        <v>38</v>
      </c>
      <c r="H114" t="s">
        <v>39</v>
      </c>
      <c r="I114">
        <v>4</v>
      </c>
      <c r="J114">
        <v>5230.8</v>
      </c>
      <c r="K114">
        <v>818.23</v>
      </c>
      <c r="L114">
        <v>10</v>
      </c>
      <c r="M114" t="s">
        <v>40</v>
      </c>
      <c r="N114" t="str">
        <f>TEXT(Table1[[#This Row],[Order Date]],"MMMM")</f>
        <v>April</v>
      </c>
      <c r="O114">
        <f>YEAR(Table1[[#This Row],[Order Date]])</f>
        <v>2025</v>
      </c>
      <c r="P114" t="str">
        <f>"Q"&amp;ROUNDUP(MONTH(Table1[[#This Row],[Order Date]])/3,0)</f>
        <v>Q2</v>
      </c>
      <c r="Q114" s="3">
        <f>Table1[[#This Row],[Profit]]/Table1[[#This Row],[Sales]]</f>
        <v>0.15642540337998012</v>
      </c>
      <c r="R114" t="str">
        <f>IF(Table1[[#This Row],[Sales]]&lt;1000,"LOW",IF(Table1[[#This Row],[Sales]]&lt;5000,"MEDIUM","HIGH"))</f>
        <v>HIGH</v>
      </c>
      <c r="S114" s="2">
        <f>Table1[[#This Row],[Discount]]/100</f>
        <v>0.1</v>
      </c>
    </row>
    <row r="115" spans="1:19" x14ac:dyDescent="0.3">
      <c r="A115">
        <v>10114</v>
      </c>
      <c r="B115" s="1" t="s">
        <v>245</v>
      </c>
      <c r="C115" t="s">
        <v>246</v>
      </c>
      <c r="D115" t="s">
        <v>15</v>
      </c>
      <c r="E115" t="s">
        <v>16</v>
      </c>
      <c r="F115" t="s">
        <v>31</v>
      </c>
      <c r="G115" t="s">
        <v>32</v>
      </c>
      <c r="H115" t="s">
        <v>33</v>
      </c>
      <c r="I115">
        <v>6</v>
      </c>
      <c r="J115">
        <v>17334.900000000001</v>
      </c>
      <c r="K115">
        <v>1639.1</v>
      </c>
      <c r="L115">
        <v>15</v>
      </c>
      <c r="M115" t="s">
        <v>45</v>
      </c>
      <c r="N115" t="str">
        <f>TEXT(Table1[[#This Row],[Order Date]],"MMMM")</f>
        <v>March</v>
      </c>
      <c r="O115">
        <f>YEAR(Table1[[#This Row],[Order Date]])</f>
        <v>2025</v>
      </c>
      <c r="P115" t="str">
        <f>"Q"&amp;ROUNDUP(MONTH(Table1[[#This Row],[Order Date]])/3,0)</f>
        <v>Q1</v>
      </c>
      <c r="Q115" s="3">
        <f>Table1[[#This Row],[Profit]]/Table1[[#This Row],[Sales]]</f>
        <v>9.4554915228815845E-2</v>
      </c>
      <c r="R115" t="str">
        <f>IF(Table1[[#This Row],[Sales]]&lt;1000,"LOW",IF(Table1[[#This Row],[Sales]]&lt;5000,"MEDIUM","HIGH"))</f>
        <v>HIGH</v>
      </c>
      <c r="S115" s="2">
        <f>Table1[[#This Row],[Discount]]/100</f>
        <v>0.15</v>
      </c>
    </row>
    <row r="116" spans="1:19" x14ac:dyDescent="0.3">
      <c r="A116">
        <v>10115</v>
      </c>
      <c r="B116" s="1" t="s">
        <v>247</v>
      </c>
      <c r="C116" t="s">
        <v>248</v>
      </c>
      <c r="D116" t="s">
        <v>74</v>
      </c>
      <c r="E116" t="s">
        <v>74</v>
      </c>
      <c r="F116" t="s">
        <v>25</v>
      </c>
      <c r="G116" t="s">
        <v>26</v>
      </c>
      <c r="H116" t="s">
        <v>27</v>
      </c>
      <c r="I116">
        <v>8</v>
      </c>
      <c r="J116">
        <v>33804</v>
      </c>
      <c r="K116">
        <v>8371.91</v>
      </c>
      <c r="L116">
        <v>10</v>
      </c>
      <c r="M116" t="s">
        <v>28</v>
      </c>
      <c r="N116" t="str">
        <f>TEXT(Table1[[#This Row],[Order Date]],"MMMM")</f>
        <v>May</v>
      </c>
      <c r="O116">
        <f>YEAR(Table1[[#This Row],[Order Date]])</f>
        <v>2025</v>
      </c>
      <c r="P116" t="str">
        <f>"Q"&amp;ROUNDUP(MONTH(Table1[[#This Row],[Order Date]])/3,0)</f>
        <v>Q2</v>
      </c>
      <c r="Q116" s="3">
        <f>Table1[[#This Row],[Profit]]/Table1[[#This Row],[Sales]]</f>
        <v>0.24766033605490473</v>
      </c>
      <c r="R116" t="str">
        <f>IF(Table1[[#This Row],[Sales]]&lt;1000,"LOW",IF(Table1[[#This Row],[Sales]]&lt;5000,"MEDIUM","HIGH"))</f>
        <v>HIGH</v>
      </c>
      <c r="S116" s="2">
        <f>Table1[[#This Row],[Discount]]/100</f>
        <v>0.1</v>
      </c>
    </row>
    <row r="117" spans="1:19" x14ac:dyDescent="0.3">
      <c r="A117">
        <v>10116</v>
      </c>
      <c r="B117" s="1" t="s">
        <v>199</v>
      </c>
      <c r="C117" t="s">
        <v>249</v>
      </c>
      <c r="D117" t="s">
        <v>23</v>
      </c>
      <c r="E117" t="s">
        <v>24</v>
      </c>
      <c r="F117" t="s">
        <v>25</v>
      </c>
      <c r="G117" t="s">
        <v>26</v>
      </c>
      <c r="H117" t="s">
        <v>71</v>
      </c>
      <c r="I117">
        <v>1</v>
      </c>
      <c r="J117">
        <v>1957</v>
      </c>
      <c r="K117">
        <v>377.31</v>
      </c>
      <c r="L117">
        <v>0</v>
      </c>
      <c r="M117" t="s">
        <v>40</v>
      </c>
      <c r="N117" t="str">
        <f>TEXT(Table1[[#This Row],[Order Date]],"MMMM")</f>
        <v>September</v>
      </c>
      <c r="O117">
        <f>YEAR(Table1[[#This Row],[Order Date]])</f>
        <v>2025</v>
      </c>
      <c r="P117" t="str">
        <f>"Q"&amp;ROUNDUP(MONTH(Table1[[#This Row],[Order Date]])/3,0)</f>
        <v>Q3</v>
      </c>
      <c r="Q117" s="3">
        <f>Table1[[#This Row],[Profit]]/Table1[[#This Row],[Sales]]</f>
        <v>0.19280020439448134</v>
      </c>
      <c r="R117" t="str">
        <f>IF(Table1[[#This Row],[Sales]]&lt;1000,"LOW",IF(Table1[[#This Row],[Sales]]&lt;5000,"MEDIUM","HIGH"))</f>
        <v>MEDIUM</v>
      </c>
      <c r="S117" s="2">
        <f>Table1[[#This Row],[Discount]]/100</f>
        <v>0</v>
      </c>
    </row>
    <row r="118" spans="1:19" x14ac:dyDescent="0.3">
      <c r="A118">
        <v>10117</v>
      </c>
      <c r="B118" s="1" t="s">
        <v>178</v>
      </c>
      <c r="C118" t="s">
        <v>250</v>
      </c>
      <c r="D118" t="s">
        <v>15</v>
      </c>
      <c r="E118" t="s">
        <v>16</v>
      </c>
      <c r="F118" t="s">
        <v>31</v>
      </c>
      <c r="G118" t="s">
        <v>38</v>
      </c>
      <c r="H118" t="s">
        <v>39</v>
      </c>
      <c r="I118">
        <v>1</v>
      </c>
      <c r="J118">
        <v>2247.6999999999998</v>
      </c>
      <c r="K118">
        <v>445.42</v>
      </c>
      <c r="L118">
        <v>5</v>
      </c>
      <c r="M118" t="s">
        <v>20</v>
      </c>
      <c r="N118" t="str">
        <f>TEXT(Table1[[#This Row],[Order Date]],"MMMM")</f>
        <v>January</v>
      </c>
      <c r="O118">
        <f>YEAR(Table1[[#This Row],[Order Date]])</f>
        <v>2025</v>
      </c>
      <c r="P118" t="str">
        <f>"Q"&amp;ROUNDUP(MONTH(Table1[[#This Row],[Order Date]])/3,0)</f>
        <v>Q1</v>
      </c>
      <c r="Q118" s="3">
        <f>Table1[[#This Row],[Profit]]/Table1[[#This Row],[Sales]]</f>
        <v>0.19816701517106378</v>
      </c>
      <c r="R118" t="str">
        <f>IF(Table1[[#This Row],[Sales]]&lt;1000,"LOW",IF(Table1[[#This Row],[Sales]]&lt;5000,"MEDIUM","HIGH"))</f>
        <v>MEDIUM</v>
      </c>
      <c r="S118" s="2">
        <f>Table1[[#This Row],[Discount]]/100</f>
        <v>0.05</v>
      </c>
    </row>
    <row r="119" spans="1:19" x14ac:dyDescent="0.3">
      <c r="A119">
        <v>10118</v>
      </c>
      <c r="B119" s="1" t="s">
        <v>46</v>
      </c>
      <c r="C119" t="s">
        <v>251</v>
      </c>
      <c r="D119" t="s">
        <v>15</v>
      </c>
      <c r="E119" t="s">
        <v>16</v>
      </c>
      <c r="F119" t="s">
        <v>31</v>
      </c>
      <c r="G119" t="s">
        <v>38</v>
      </c>
      <c r="H119" t="s">
        <v>39</v>
      </c>
      <c r="I119">
        <v>7</v>
      </c>
      <c r="J119">
        <v>32378.85</v>
      </c>
      <c r="K119">
        <v>3380.61</v>
      </c>
      <c r="L119">
        <v>5</v>
      </c>
      <c r="M119" t="s">
        <v>49</v>
      </c>
      <c r="N119" t="str">
        <f>TEXT(Table1[[#This Row],[Order Date]],"MMMM")</f>
        <v>August</v>
      </c>
      <c r="O119">
        <f>YEAR(Table1[[#This Row],[Order Date]])</f>
        <v>2025</v>
      </c>
      <c r="P119" t="str">
        <f>"Q"&amp;ROUNDUP(MONTH(Table1[[#This Row],[Order Date]])/3,0)</f>
        <v>Q3</v>
      </c>
      <c r="Q119" s="3">
        <f>Table1[[#This Row],[Profit]]/Table1[[#This Row],[Sales]]</f>
        <v>0.10440797001746512</v>
      </c>
      <c r="R119" t="str">
        <f>IF(Table1[[#This Row],[Sales]]&lt;1000,"LOW",IF(Table1[[#This Row],[Sales]]&lt;5000,"MEDIUM","HIGH"))</f>
        <v>HIGH</v>
      </c>
      <c r="S119" s="2">
        <f>Table1[[#This Row],[Discount]]/100</f>
        <v>0.05</v>
      </c>
    </row>
    <row r="120" spans="1:19" x14ac:dyDescent="0.3">
      <c r="A120">
        <v>10119</v>
      </c>
      <c r="B120" s="1" t="s">
        <v>252</v>
      </c>
      <c r="C120" t="s">
        <v>78</v>
      </c>
      <c r="D120" t="s">
        <v>15</v>
      </c>
      <c r="E120" t="s">
        <v>16</v>
      </c>
      <c r="F120" t="s">
        <v>31</v>
      </c>
      <c r="G120" t="s">
        <v>38</v>
      </c>
      <c r="H120" t="s">
        <v>39</v>
      </c>
      <c r="I120">
        <v>4</v>
      </c>
      <c r="J120">
        <v>6127.2</v>
      </c>
      <c r="K120">
        <v>1332.12</v>
      </c>
      <c r="L120">
        <v>10</v>
      </c>
      <c r="M120" t="s">
        <v>20</v>
      </c>
      <c r="N120" t="str">
        <f>TEXT(Table1[[#This Row],[Order Date]],"MMMM")</f>
        <v>September</v>
      </c>
      <c r="O120">
        <f>YEAR(Table1[[#This Row],[Order Date]])</f>
        <v>2025</v>
      </c>
      <c r="P120" t="str">
        <f>"Q"&amp;ROUNDUP(MONTH(Table1[[#This Row],[Order Date]])/3,0)</f>
        <v>Q3</v>
      </c>
      <c r="Q120" s="3">
        <f>Table1[[#This Row],[Profit]]/Table1[[#This Row],[Sales]]</f>
        <v>0.21741088915001958</v>
      </c>
      <c r="R120" t="str">
        <f>IF(Table1[[#This Row],[Sales]]&lt;1000,"LOW",IF(Table1[[#This Row],[Sales]]&lt;5000,"MEDIUM","HIGH"))</f>
        <v>HIGH</v>
      </c>
      <c r="S120" s="2">
        <f>Table1[[#This Row],[Discount]]/100</f>
        <v>0.1</v>
      </c>
    </row>
    <row r="121" spans="1:19" x14ac:dyDescent="0.3">
      <c r="A121">
        <v>10120</v>
      </c>
      <c r="B121" s="1" t="s">
        <v>234</v>
      </c>
      <c r="C121" t="s">
        <v>253</v>
      </c>
      <c r="D121" t="s">
        <v>36</v>
      </c>
      <c r="E121" t="s">
        <v>37</v>
      </c>
      <c r="F121" t="s">
        <v>25</v>
      </c>
      <c r="G121" t="s">
        <v>26</v>
      </c>
      <c r="H121" t="s">
        <v>27</v>
      </c>
      <c r="I121">
        <v>4</v>
      </c>
      <c r="J121">
        <v>13805.4</v>
      </c>
      <c r="K121">
        <v>2932.2</v>
      </c>
      <c r="L121">
        <v>5</v>
      </c>
      <c r="M121" t="s">
        <v>20</v>
      </c>
      <c r="N121" t="str">
        <f>TEXT(Table1[[#This Row],[Order Date]],"MMMM")</f>
        <v>March</v>
      </c>
      <c r="O121">
        <f>YEAR(Table1[[#This Row],[Order Date]])</f>
        <v>2025</v>
      </c>
      <c r="P121" t="str">
        <f>"Q"&amp;ROUNDUP(MONTH(Table1[[#This Row],[Order Date]])/3,0)</f>
        <v>Q1</v>
      </c>
      <c r="Q121" s="3">
        <f>Table1[[#This Row],[Profit]]/Table1[[#This Row],[Sales]]</f>
        <v>0.21239514972402102</v>
      </c>
      <c r="R121" t="str">
        <f>IF(Table1[[#This Row],[Sales]]&lt;1000,"LOW",IF(Table1[[#This Row],[Sales]]&lt;5000,"MEDIUM","HIGH"))</f>
        <v>HIGH</v>
      </c>
      <c r="S121" s="2">
        <f>Table1[[#This Row],[Discount]]/100</f>
        <v>0.05</v>
      </c>
    </row>
    <row r="122" spans="1:19" x14ac:dyDescent="0.3">
      <c r="A122">
        <v>10121</v>
      </c>
      <c r="B122" s="1" t="s">
        <v>254</v>
      </c>
      <c r="C122" t="s">
        <v>255</v>
      </c>
      <c r="D122" t="s">
        <v>60</v>
      </c>
      <c r="E122" t="s">
        <v>61</v>
      </c>
      <c r="F122" t="s">
        <v>31</v>
      </c>
      <c r="G122" t="s">
        <v>124</v>
      </c>
      <c r="H122" t="s">
        <v>125</v>
      </c>
      <c r="I122">
        <v>2</v>
      </c>
      <c r="J122">
        <v>3693.6</v>
      </c>
      <c r="K122">
        <v>978.96</v>
      </c>
      <c r="L122">
        <v>5</v>
      </c>
      <c r="M122" t="s">
        <v>40</v>
      </c>
      <c r="N122" t="str">
        <f>TEXT(Table1[[#This Row],[Order Date]],"MMMM")</f>
        <v>March</v>
      </c>
      <c r="O122">
        <f>YEAR(Table1[[#This Row],[Order Date]])</f>
        <v>2025</v>
      </c>
      <c r="P122" t="str">
        <f>"Q"&amp;ROUNDUP(MONTH(Table1[[#This Row],[Order Date]])/3,0)</f>
        <v>Q1</v>
      </c>
      <c r="Q122" s="3">
        <f>Table1[[#This Row],[Profit]]/Table1[[#This Row],[Sales]]</f>
        <v>0.26504223521767384</v>
      </c>
      <c r="R122" t="str">
        <f>IF(Table1[[#This Row],[Sales]]&lt;1000,"LOW",IF(Table1[[#This Row],[Sales]]&lt;5000,"MEDIUM","HIGH"))</f>
        <v>MEDIUM</v>
      </c>
      <c r="S122" s="2">
        <f>Table1[[#This Row],[Discount]]/100</f>
        <v>0.05</v>
      </c>
    </row>
    <row r="123" spans="1:19" x14ac:dyDescent="0.3">
      <c r="A123">
        <v>10122</v>
      </c>
      <c r="B123" s="1" t="s">
        <v>256</v>
      </c>
      <c r="C123" t="s">
        <v>174</v>
      </c>
      <c r="D123" t="s">
        <v>23</v>
      </c>
      <c r="E123" t="s">
        <v>24</v>
      </c>
      <c r="F123" t="s">
        <v>25</v>
      </c>
      <c r="G123" t="s">
        <v>26</v>
      </c>
      <c r="H123" t="s">
        <v>71</v>
      </c>
      <c r="I123">
        <v>1</v>
      </c>
      <c r="J123">
        <v>4354.2</v>
      </c>
      <c r="K123">
        <v>490.98</v>
      </c>
      <c r="L123">
        <v>10</v>
      </c>
      <c r="M123" t="s">
        <v>49</v>
      </c>
      <c r="N123" t="str">
        <f>TEXT(Table1[[#This Row],[Order Date]],"MMMM")</f>
        <v>January</v>
      </c>
      <c r="O123">
        <f>YEAR(Table1[[#This Row],[Order Date]])</f>
        <v>2025</v>
      </c>
      <c r="P123" t="str">
        <f>"Q"&amp;ROUNDUP(MONTH(Table1[[#This Row],[Order Date]])/3,0)</f>
        <v>Q1</v>
      </c>
      <c r="Q123" s="3">
        <f>Table1[[#This Row],[Profit]]/Table1[[#This Row],[Sales]]</f>
        <v>0.11276009370263194</v>
      </c>
      <c r="R123" t="str">
        <f>IF(Table1[[#This Row],[Sales]]&lt;1000,"LOW",IF(Table1[[#This Row],[Sales]]&lt;5000,"MEDIUM","HIGH"))</f>
        <v>MEDIUM</v>
      </c>
      <c r="S123" s="2">
        <f>Table1[[#This Row],[Discount]]/100</f>
        <v>0.1</v>
      </c>
    </row>
    <row r="124" spans="1:19" x14ac:dyDescent="0.3">
      <c r="A124">
        <v>10123</v>
      </c>
      <c r="B124" s="1" t="s">
        <v>257</v>
      </c>
      <c r="C124" t="s">
        <v>68</v>
      </c>
      <c r="D124" t="s">
        <v>56</v>
      </c>
      <c r="E124" t="s">
        <v>57</v>
      </c>
      <c r="F124" t="s">
        <v>31</v>
      </c>
      <c r="G124" t="s">
        <v>38</v>
      </c>
      <c r="H124" t="s">
        <v>39</v>
      </c>
      <c r="I124">
        <v>2</v>
      </c>
      <c r="J124">
        <v>7617.7</v>
      </c>
      <c r="K124">
        <v>1853.82</v>
      </c>
      <c r="L124">
        <v>15</v>
      </c>
      <c r="M124" t="s">
        <v>40</v>
      </c>
      <c r="N124" t="str">
        <f>TEXT(Table1[[#This Row],[Order Date]],"MMMM")</f>
        <v>June</v>
      </c>
      <c r="O124">
        <f>YEAR(Table1[[#This Row],[Order Date]])</f>
        <v>2025</v>
      </c>
      <c r="P124" t="str">
        <f>"Q"&amp;ROUNDUP(MONTH(Table1[[#This Row],[Order Date]])/3,0)</f>
        <v>Q2</v>
      </c>
      <c r="Q124" s="3">
        <f>Table1[[#This Row],[Profit]]/Table1[[#This Row],[Sales]]</f>
        <v>0.24335691875500479</v>
      </c>
      <c r="R124" t="str">
        <f>IF(Table1[[#This Row],[Sales]]&lt;1000,"LOW",IF(Table1[[#This Row],[Sales]]&lt;5000,"MEDIUM","HIGH"))</f>
        <v>HIGH</v>
      </c>
      <c r="S124" s="2">
        <f>Table1[[#This Row],[Discount]]/100</f>
        <v>0.15</v>
      </c>
    </row>
    <row r="125" spans="1:19" x14ac:dyDescent="0.3">
      <c r="A125">
        <v>10124</v>
      </c>
      <c r="B125" s="1" t="s">
        <v>252</v>
      </c>
      <c r="C125" t="s">
        <v>258</v>
      </c>
      <c r="D125" t="s">
        <v>56</v>
      </c>
      <c r="E125" t="s">
        <v>57</v>
      </c>
      <c r="F125" t="s">
        <v>31</v>
      </c>
      <c r="G125" t="s">
        <v>89</v>
      </c>
      <c r="H125" t="s">
        <v>90</v>
      </c>
      <c r="I125">
        <v>3</v>
      </c>
      <c r="J125">
        <v>1137</v>
      </c>
      <c r="K125">
        <v>325.68</v>
      </c>
      <c r="L125">
        <v>0</v>
      </c>
      <c r="M125" t="s">
        <v>45</v>
      </c>
      <c r="N125" t="str">
        <f>TEXT(Table1[[#This Row],[Order Date]],"MMMM")</f>
        <v>September</v>
      </c>
      <c r="O125">
        <f>YEAR(Table1[[#This Row],[Order Date]])</f>
        <v>2025</v>
      </c>
      <c r="P125" t="str">
        <f>"Q"&amp;ROUNDUP(MONTH(Table1[[#This Row],[Order Date]])/3,0)</f>
        <v>Q3</v>
      </c>
      <c r="Q125" s="3">
        <f>Table1[[#This Row],[Profit]]/Table1[[#This Row],[Sales]]</f>
        <v>0.28643799472295517</v>
      </c>
      <c r="R125" t="str">
        <f>IF(Table1[[#This Row],[Sales]]&lt;1000,"LOW",IF(Table1[[#This Row],[Sales]]&lt;5000,"MEDIUM","HIGH"))</f>
        <v>MEDIUM</v>
      </c>
      <c r="S125" s="2">
        <f>Table1[[#This Row],[Discount]]/100</f>
        <v>0</v>
      </c>
    </row>
    <row r="126" spans="1:19" x14ac:dyDescent="0.3">
      <c r="A126">
        <v>10125</v>
      </c>
      <c r="B126" s="1" t="s">
        <v>259</v>
      </c>
      <c r="C126" t="s">
        <v>82</v>
      </c>
      <c r="D126" t="s">
        <v>15</v>
      </c>
      <c r="E126" t="s">
        <v>16</v>
      </c>
      <c r="F126" t="s">
        <v>31</v>
      </c>
      <c r="G126" t="s">
        <v>38</v>
      </c>
      <c r="H126" t="s">
        <v>39</v>
      </c>
      <c r="I126">
        <v>4</v>
      </c>
      <c r="J126">
        <v>13231.6</v>
      </c>
      <c r="K126">
        <v>1436.35</v>
      </c>
      <c r="L126">
        <v>5</v>
      </c>
      <c r="M126" t="s">
        <v>20</v>
      </c>
      <c r="N126" t="str">
        <f>TEXT(Table1[[#This Row],[Order Date]],"MMMM")</f>
        <v>April</v>
      </c>
      <c r="O126">
        <f>YEAR(Table1[[#This Row],[Order Date]])</f>
        <v>2025</v>
      </c>
      <c r="P126" t="str">
        <f>"Q"&amp;ROUNDUP(MONTH(Table1[[#This Row],[Order Date]])/3,0)</f>
        <v>Q2</v>
      </c>
      <c r="Q126" s="3">
        <f>Table1[[#This Row],[Profit]]/Table1[[#This Row],[Sales]]</f>
        <v>0.10855452099519332</v>
      </c>
      <c r="R126" t="str">
        <f>IF(Table1[[#This Row],[Sales]]&lt;1000,"LOW",IF(Table1[[#This Row],[Sales]]&lt;5000,"MEDIUM","HIGH"))</f>
        <v>HIGH</v>
      </c>
      <c r="S126" s="2">
        <f>Table1[[#This Row],[Discount]]/100</f>
        <v>0.05</v>
      </c>
    </row>
    <row r="127" spans="1:19" x14ac:dyDescent="0.3">
      <c r="A127">
        <v>10126</v>
      </c>
      <c r="B127" s="1" t="s">
        <v>260</v>
      </c>
      <c r="C127" t="s">
        <v>228</v>
      </c>
      <c r="D127" t="s">
        <v>23</v>
      </c>
      <c r="E127" t="s">
        <v>24</v>
      </c>
      <c r="F127" t="s">
        <v>31</v>
      </c>
      <c r="G127" t="s">
        <v>124</v>
      </c>
      <c r="H127" t="s">
        <v>125</v>
      </c>
      <c r="I127">
        <v>3</v>
      </c>
      <c r="J127">
        <v>6594.3</v>
      </c>
      <c r="K127">
        <v>542.89</v>
      </c>
      <c r="L127">
        <v>15</v>
      </c>
      <c r="M127" t="s">
        <v>28</v>
      </c>
      <c r="N127" t="str">
        <f>TEXT(Table1[[#This Row],[Order Date]],"MMMM")</f>
        <v>April</v>
      </c>
      <c r="O127">
        <f>YEAR(Table1[[#This Row],[Order Date]])</f>
        <v>2025</v>
      </c>
      <c r="P127" t="str">
        <f>"Q"&amp;ROUNDUP(MONTH(Table1[[#This Row],[Order Date]])/3,0)</f>
        <v>Q2</v>
      </c>
      <c r="Q127" s="3">
        <f>Table1[[#This Row],[Profit]]/Table1[[#This Row],[Sales]]</f>
        <v>8.232716133630559E-2</v>
      </c>
      <c r="R127" t="str">
        <f>IF(Table1[[#This Row],[Sales]]&lt;1000,"LOW",IF(Table1[[#This Row],[Sales]]&lt;5000,"MEDIUM","HIGH"))</f>
        <v>HIGH</v>
      </c>
      <c r="S127" s="2">
        <f>Table1[[#This Row],[Discount]]/100</f>
        <v>0.15</v>
      </c>
    </row>
    <row r="128" spans="1:19" x14ac:dyDescent="0.3">
      <c r="A128">
        <v>10127</v>
      </c>
      <c r="B128" s="1" t="s">
        <v>29</v>
      </c>
      <c r="C128" t="s">
        <v>203</v>
      </c>
      <c r="D128" t="s">
        <v>74</v>
      </c>
      <c r="E128" t="s">
        <v>74</v>
      </c>
      <c r="F128" t="s">
        <v>25</v>
      </c>
      <c r="G128" t="s">
        <v>95</v>
      </c>
      <c r="H128" t="s">
        <v>96</v>
      </c>
      <c r="I128">
        <v>6</v>
      </c>
      <c r="J128">
        <v>14395.2</v>
      </c>
      <c r="K128">
        <v>3327.33</v>
      </c>
      <c r="L128">
        <v>20</v>
      </c>
      <c r="M128" t="s">
        <v>40</v>
      </c>
      <c r="N128" t="str">
        <f>TEXT(Table1[[#This Row],[Order Date]],"MMMM")</f>
        <v>July</v>
      </c>
      <c r="O128">
        <f>YEAR(Table1[[#This Row],[Order Date]])</f>
        <v>2025</v>
      </c>
      <c r="P128" t="str">
        <f>"Q"&amp;ROUNDUP(MONTH(Table1[[#This Row],[Order Date]])/3,0)</f>
        <v>Q3</v>
      </c>
      <c r="Q128" s="3">
        <f>Table1[[#This Row],[Profit]]/Table1[[#This Row],[Sales]]</f>
        <v>0.2311416305435145</v>
      </c>
      <c r="R128" t="str">
        <f>IF(Table1[[#This Row],[Sales]]&lt;1000,"LOW",IF(Table1[[#This Row],[Sales]]&lt;5000,"MEDIUM","HIGH"))</f>
        <v>HIGH</v>
      </c>
      <c r="S128" s="2">
        <f>Table1[[#This Row],[Discount]]/100</f>
        <v>0.2</v>
      </c>
    </row>
    <row r="129" spans="1:19" x14ac:dyDescent="0.3">
      <c r="A129">
        <v>10128</v>
      </c>
      <c r="B129" s="1" t="s">
        <v>261</v>
      </c>
      <c r="C129" t="s">
        <v>214</v>
      </c>
      <c r="D129" t="s">
        <v>74</v>
      </c>
      <c r="E129" t="s">
        <v>74</v>
      </c>
      <c r="F129" t="s">
        <v>25</v>
      </c>
      <c r="G129" t="s">
        <v>95</v>
      </c>
      <c r="H129" t="s">
        <v>96</v>
      </c>
      <c r="I129">
        <v>3</v>
      </c>
      <c r="J129">
        <v>6064.2</v>
      </c>
      <c r="K129">
        <v>1282.6500000000001</v>
      </c>
      <c r="L129">
        <v>10</v>
      </c>
      <c r="M129" t="s">
        <v>45</v>
      </c>
      <c r="N129" t="str">
        <f>TEXT(Table1[[#This Row],[Order Date]],"MMMM")</f>
        <v>October</v>
      </c>
      <c r="O129">
        <f>YEAR(Table1[[#This Row],[Order Date]])</f>
        <v>2025</v>
      </c>
      <c r="P129" t="str">
        <f>"Q"&amp;ROUNDUP(MONTH(Table1[[#This Row],[Order Date]])/3,0)</f>
        <v>Q4</v>
      </c>
      <c r="Q129" s="3">
        <f>Table1[[#This Row],[Profit]]/Table1[[#This Row],[Sales]]</f>
        <v>0.21151182348867123</v>
      </c>
      <c r="R129" t="str">
        <f>IF(Table1[[#This Row],[Sales]]&lt;1000,"LOW",IF(Table1[[#This Row],[Sales]]&lt;5000,"MEDIUM","HIGH"))</f>
        <v>HIGH</v>
      </c>
      <c r="S129" s="2">
        <f>Table1[[#This Row],[Discount]]/100</f>
        <v>0.1</v>
      </c>
    </row>
    <row r="130" spans="1:19" x14ac:dyDescent="0.3">
      <c r="A130">
        <v>10129</v>
      </c>
      <c r="B130" s="1" t="s">
        <v>262</v>
      </c>
      <c r="C130" t="s">
        <v>210</v>
      </c>
      <c r="D130" t="s">
        <v>15</v>
      </c>
      <c r="E130" t="s">
        <v>16</v>
      </c>
      <c r="F130" t="s">
        <v>31</v>
      </c>
      <c r="G130" t="s">
        <v>38</v>
      </c>
      <c r="H130" t="s">
        <v>39</v>
      </c>
      <c r="I130">
        <v>7</v>
      </c>
      <c r="J130">
        <v>11300.8</v>
      </c>
      <c r="K130">
        <v>1147.94</v>
      </c>
      <c r="L130">
        <v>20</v>
      </c>
      <c r="M130" t="s">
        <v>28</v>
      </c>
      <c r="N130" t="str">
        <f>TEXT(Table1[[#This Row],[Order Date]],"MMMM")</f>
        <v>November</v>
      </c>
      <c r="O130">
        <f>YEAR(Table1[[#This Row],[Order Date]])</f>
        <v>2025</v>
      </c>
      <c r="P130" t="str">
        <f>"Q"&amp;ROUNDUP(MONTH(Table1[[#This Row],[Order Date]])/3,0)</f>
        <v>Q4</v>
      </c>
      <c r="Q130" s="3">
        <f>Table1[[#This Row],[Profit]]/Table1[[#This Row],[Sales]]</f>
        <v>0.1015804190853745</v>
      </c>
      <c r="R130" t="str">
        <f>IF(Table1[[#This Row],[Sales]]&lt;1000,"LOW",IF(Table1[[#This Row],[Sales]]&lt;5000,"MEDIUM","HIGH"))</f>
        <v>HIGH</v>
      </c>
      <c r="S130" s="2">
        <f>Table1[[#This Row],[Discount]]/100</f>
        <v>0.2</v>
      </c>
    </row>
    <row r="131" spans="1:19" x14ac:dyDescent="0.3">
      <c r="A131">
        <v>10130</v>
      </c>
      <c r="B131" s="1" t="s">
        <v>263</v>
      </c>
      <c r="C131" t="s">
        <v>148</v>
      </c>
      <c r="D131" t="s">
        <v>66</v>
      </c>
      <c r="E131" t="s">
        <v>16</v>
      </c>
      <c r="F131" t="s">
        <v>31</v>
      </c>
      <c r="G131" t="s">
        <v>89</v>
      </c>
      <c r="H131" t="s">
        <v>90</v>
      </c>
      <c r="I131">
        <v>5</v>
      </c>
      <c r="J131">
        <v>7083</v>
      </c>
      <c r="K131">
        <v>1553.76</v>
      </c>
      <c r="L131">
        <v>10</v>
      </c>
      <c r="M131" t="s">
        <v>45</v>
      </c>
      <c r="N131" t="str">
        <f>TEXT(Table1[[#This Row],[Order Date]],"MMMM")</f>
        <v>May</v>
      </c>
      <c r="O131">
        <f>YEAR(Table1[[#This Row],[Order Date]])</f>
        <v>2025</v>
      </c>
      <c r="P131" t="str">
        <f>"Q"&amp;ROUNDUP(MONTH(Table1[[#This Row],[Order Date]])/3,0)</f>
        <v>Q2</v>
      </c>
      <c r="Q131" s="3">
        <f>Table1[[#This Row],[Profit]]/Table1[[#This Row],[Sales]]</f>
        <v>0.21936467598475223</v>
      </c>
      <c r="R131" t="str">
        <f>IF(Table1[[#This Row],[Sales]]&lt;1000,"LOW",IF(Table1[[#This Row],[Sales]]&lt;5000,"MEDIUM","HIGH"))</f>
        <v>HIGH</v>
      </c>
      <c r="S131" s="2">
        <f>Table1[[#This Row],[Discount]]/100</f>
        <v>0.1</v>
      </c>
    </row>
    <row r="132" spans="1:19" x14ac:dyDescent="0.3">
      <c r="A132">
        <v>10131</v>
      </c>
      <c r="B132" s="1" t="s">
        <v>264</v>
      </c>
      <c r="C132" t="s">
        <v>65</v>
      </c>
      <c r="D132" t="s">
        <v>36</v>
      </c>
      <c r="E132" t="s">
        <v>37</v>
      </c>
      <c r="F132" t="s">
        <v>17</v>
      </c>
      <c r="G132" t="s">
        <v>75</v>
      </c>
      <c r="H132" t="s">
        <v>76</v>
      </c>
      <c r="I132">
        <v>2</v>
      </c>
      <c r="J132">
        <v>6702.4</v>
      </c>
      <c r="K132">
        <v>907</v>
      </c>
      <c r="L132">
        <v>20</v>
      </c>
      <c r="M132" t="s">
        <v>20</v>
      </c>
      <c r="N132" t="str">
        <f>TEXT(Table1[[#This Row],[Order Date]],"MMMM")</f>
        <v>March</v>
      </c>
      <c r="O132">
        <f>YEAR(Table1[[#This Row],[Order Date]])</f>
        <v>2025</v>
      </c>
      <c r="P132" t="str">
        <f>"Q"&amp;ROUNDUP(MONTH(Table1[[#This Row],[Order Date]])/3,0)</f>
        <v>Q1</v>
      </c>
      <c r="Q132" s="3">
        <f>Table1[[#This Row],[Profit]]/Table1[[#This Row],[Sales]]</f>
        <v>0.13532465982334688</v>
      </c>
      <c r="R132" t="str">
        <f>IF(Table1[[#This Row],[Sales]]&lt;1000,"LOW",IF(Table1[[#This Row],[Sales]]&lt;5000,"MEDIUM","HIGH"))</f>
        <v>HIGH</v>
      </c>
      <c r="S132" s="2">
        <f>Table1[[#This Row],[Discount]]/100</f>
        <v>0.2</v>
      </c>
    </row>
    <row r="133" spans="1:19" x14ac:dyDescent="0.3">
      <c r="A133">
        <v>10132</v>
      </c>
      <c r="B133" s="1" t="s">
        <v>265</v>
      </c>
      <c r="C133" t="s">
        <v>253</v>
      </c>
      <c r="D133" t="s">
        <v>66</v>
      </c>
      <c r="E133" t="s">
        <v>16</v>
      </c>
      <c r="F133" t="s">
        <v>31</v>
      </c>
      <c r="G133" t="s">
        <v>38</v>
      </c>
      <c r="H133" t="s">
        <v>39</v>
      </c>
      <c r="I133">
        <v>7</v>
      </c>
      <c r="J133">
        <v>16153.2</v>
      </c>
      <c r="K133">
        <v>4219.1499999999996</v>
      </c>
      <c r="L133">
        <v>10</v>
      </c>
      <c r="M133" t="s">
        <v>40</v>
      </c>
      <c r="N133" t="str">
        <f>TEXT(Table1[[#This Row],[Order Date]],"MMMM")</f>
        <v>September</v>
      </c>
      <c r="O133">
        <f>YEAR(Table1[[#This Row],[Order Date]])</f>
        <v>2025</v>
      </c>
      <c r="P133" t="str">
        <f>"Q"&amp;ROUNDUP(MONTH(Table1[[#This Row],[Order Date]])/3,0)</f>
        <v>Q3</v>
      </c>
      <c r="Q133" s="3">
        <f>Table1[[#This Row],[Profit]]/Table1[[#This Row],[Sales]]</f>
        <v>0.26119592402743724</v>
      </c>
      <c r="R133" t="str">
        <f>IF(Table1[[#This Row],[Sales]]&lt;1000,"LOW",IF(Table1[[#This Row],[Sales]]&lt;5000,"MEDIUM","HIGH"))</f>
        <v>HIGH</v>
      </c>
      <c r="S133" s="2">
        <f>Table1[[#This Row],[Discount]]/100</f>
        <v>0.1</v>
      </c>
    </row>
    <row r="134" spans="1:19" x14ac:dyDescent="0.3">
      <c r="A134">
        <v>10133</v>
      </c>
      <c r="B134" s="1" t="s">
        <v>266</v>
      </c>
      <c r="C134" t="s">
        <v>184</v>
      </c>
      <c r="D134" t="s">
        <v>23</v>
      </c>
      <c r="E134" t="s">
        <v>24</v>
      </c>
      <c r="F134" t="s">
        <v>25</v>
      </c>
      <c r="G134" t="s">
        <v>26</v>
      </c>
      <c r="H134" t="s">
        <v>71</v>
      </c>
      <c r="I134">
        <v>5</v>
      </c>
      <c r="J134">
        <v>13062.5</v>
      </c>
      <c r="K134">
        <v>3368.74</v>
      </c>
      <c r="L134">
        <v>5</v>
      </c>
      <c r="M134" t="s">
        <v>20</v>
      </c>
      <c r="N134" t="str">
        <f>TEXT(Table1[[#This Row],[Order Date]],"MMMM")</f>
        <v>July</v>
      </c>
      <c r="O134">
        <f>YEAR(Table1[[#This Row],[Order Date]])</f>
        <v>2025</v>
      </c>
      <c r="P134" t="str">
        <f>"Q"&amp;ROUNDUP(MONTH(Table1[[#This Row],[Order Date]])/3,0)</f>
        <v>Q3</v>
      </c>
      <c r="Q134" s="3">
        <f>Table1[[#This Row],[Profit]]/Table1[[#This Row],[Sales]]</f>
        <v>0.25789397129186603</v>
      </c>
      <c r="R134" t="str">
        <f>IF(Table1[[#This Row],[Sales]]&lt;1000,"LOW",IF(Table1[[#This Row],[Sales]]&lt;5000,"MEDIUM","HIGH"))</f>
        <v>HIGH</v>
      </c>
      <c r="S134" s="2">
        <f>Table1[[#This Row],[Discount]]/100</f>
        <v>0.05</v>
      </c>
    </row>
    <row r="135" spans="1:19" x14ac:dyDescent="0.3">
      <c r="A135">
        <v>10134</v>
      </c>
      <c r="B135" s="1" t="s">
        <v>267</v>
      </c>
      <c r="C135" t="s">
        <v>78</v>
      </c>
      <c r="D135" t="s">
        <v>52</v>
      </c>
      <c r="E135" t="s">
        <v>53</v>
      </c>
      <c r="F135" t="s">
        <v>17</v>
      </c>
      <c r="G135" t="s">
        <v>43</v>
      </c>
      <c r="H135" t="s">
        <v>44</v>
      </c>
      <c r="I135">
        <v>3</v>
      </c>
      <c r="J135">
        <v>2692.8</v>
      </c>
      <c r="K135">
        <v>791.56</v>
      </c>
      <c r="L135">
        <v>20</v>
      </c>
      <c r="M135" t="s">
        <v>28</v>
      </c>
      <c r="N135" t="str">
        <f>TEXT(Table1[[#This Row],[Order Date]],"MMMM")</f>
        <v>December</v>
      </c>
      <c r="O135">
        <f>YEAR(Table1[[#This Row],[Order Date]])</f>
        <v>2025</v>
      </c>
      <c r="P135" t="str">
        <f>"Q"&amp;ROUNDUP(MONTH(Table1[[#This Row],[Order Date]])/3,0)</f>
        <v>Q4</v>
      </c>
      <c r="Q135" s="3">
        <f>Table1[[#This Row],[Profit]]/Table1[[#This Row],[Sales]]</f>
        <v>0.29395424836601303</v>
      </c>
      <c r="R135" t="str">
        <f>IF(Table1[[#This Row],[Sales]]&lt;1000,"LOW",IF(Table1[[#This Row],[Sales]]&lt;5000,"MEDIUM","HIGH"))</f>
        <v>MEDIUM</v>
      </c>
      <c r="S135" s="2">
        <f>Table1[[#This Row],[Discount]]/100</f>
        <v>0.2</v>
      </c>
    </row>
    <row r="136" spans="1:19" x14ac:dyDescent="0.3">
      <c r="A136">
        <v>10135</v>
      </c>
      <c r="B136" s="1" t="s">
        <v>83</v>
      </c>
      <c r="C136" t="s">
        <v>103</v>
      </c>
      <c r="D136" t="s">
        <v>66</v>
      </c>
      <c r="E136" t="s">
        <v>16</v>
      </c>
      <c r="F136" t="s">
        <v>25</v>
      </c>
      <c r="G136" t="s">
        <v>26</v>
      </c>
      <c r="H136" t="s">
        <v>71</v>
      </c>
      <c r="I136">
        <v>8</v>
      </c>
      <c r="J136">
        <v>18393.599999999999</v>
      </c>
      <c r="K136">
        <v>4564.1000000000004</v>
      </c>
      <c r="L136">
        <v>20</v>
      </c>
      <c r="M136" t="s">
        <v>49</v>
      </c>
      <c r="N136" t="str">
        <f>TEXT(Table1[[#This Row],[Order Date]],"MMMM")</f>
        <v>January</v>
      </c>
      <c r="O136">
        <f>YEAR(Table1[[#This Row],[Order Date]])</f>
        <v>2025</v>
      </c>
      <c r="P136" t="str">
        <f>"Q"&amp;ROUNDUP(MONTH(Table1[[#This Row],[Order Date]])/3,0)</f>
        <v>Q1</v>
      </c>
      <c r="Q136" s="3">
        <f>Table1[[#This Row],[Profit]]/Table1[[#This Row],[Sales]]</f>
        <v>0.24813522094641619</v>
      </c>
      <c r="R136" t="str">
        <f>IF(Table1[[#This Row],[Sales]]&lt;1000,"LOW",IF(Table1[[#This Row],[Sales]]&lt;5000,"MEDIUM","HIGH"))</f>
        <v>HIGH</v>
      </c>
      <c r="S136" s="2">
        <f>Table1[[#This Row],[Discount]]/100</f>
        <v>0.2</v>
      </c>
    </row>
    <row r="137" spans="1:19" x14ac:dyDescent="0.3">
      <c r="A137">
        <v>10136</v>
      </c>
      <c r="B137" s="1" t="s">
        <v>268</v>
      </c>
      <c r="C137" t="s">
        <v>269</v>
      </c>
      <c r="D137" t="s">
        <v>15</v>
      </c>
      <c r="E137" t="s">
        <v>16</v>
      </c>
      <c r="F137" t="s">
        <v>17</v>
      </c>
      <c r="G137" t="s">
        <v>43</v>
      </c>
      <c r="H137" t="s">
        <v>44</v>
      </c>
      <c r="I137">
        <v>1</v>
      </c>
      <c r="J137">
        <v>1322.1</v>
      </c>
      <c r="K137">
        <v>358.87</v>
      </c>
      <c r="L137">
        <v>10</v>
      </c>
      <c r="M137" t="s">
        <v>40</v>
      </c>
      <c r="N137" t="str">
        <f>TEXT(Table1[[#This Row],[Order Date]],"MMMM")</f>
        <v>October</v>
      </c>
      <c r="O137">
        <f>YEAR(Table1[[#This Row],[Order Date]])</f>
        <v>2025</v>
      </c>
      <c r="P137" t="str">
        <f>"Q"&amp;ROUNDUP(MONTH(Table1[[#This Row],[Order Date]])/3,0)</f>
        <v>Q4</v>
      </c>
      <c r="Q137" s="3">
        <f>Table1[[#This Row],[Profit]]/Table1[[#This Row],[Sales]]</f>
        <v>0.27143937674911128</v>
      </c>
      <c r="R137" t="str">
        <f>IF(Table1[[#This Row],[Sales]]&lt;1000,"LOW",IF(Table1[[#This Row],[Sales]]&lt;5000,"MEDIUM","HIGH"))</f>
        <v>MEDIUM</v>
      </c>
      <c r="S137" s="2">
        <f>Table1[[#This Row],[Discount]]/100</f>
        <v>0.1</v>
      </c>
    </row>
    <row r="138" spans="1:19" x14ac:dyDescent="0.3">
      <c r="A138">
        <v>10137</v>
      </c>
      <c r="B138" s="1" t="s">
        <v>270</v>
      </c>
      <c r="C138" t="s">
        <v>174</v>
      </c>
      <c r="D138" t="s">
        <v>23</v>
      </c>
      <c r="E138" t="s">
        <v>24</v>
      </c>
      <c r="F138" t="s">
        <v>31</v>
      </c>
      <c r="G138" t="s">
        <v>32</v>
      </c>
      <c r="H138" t="s">
        <v>33</v>
      </c>
      <c r="I138">
        <v>6</v>
      </c>
      <c r="J138">
        <v>27736.2</v>
      </c>
      <c r="K138">
        <v>7556.92</v>
      </c>
      <c r="L138">
        <v>5</v>
      </c>
      <c r="M138" t="s">
        <v>49</v>
      </c>
      <c r="N138" t="str">
        <f>TEXT(Table1[[#This Row],[Order Date]],"MMMM")</f>
        <v>September</v>
      </c>
      <c r="O138">
        <f>YEAR(Table1[[#This Row],[Order Date]])</f>
        <v>2025</v>
      </c>
      <c r="P138" t="str">
        <f>"Q"&amp;ROUNDUP(MONTH(Table1[[#This Row],[Order Date]])/3,0)</f>
        <v>Q3</v>
      </c>
      <c r="Q138" s="3">
        <f>Table1[[#This Row],[Profit]]/Table1[[#This Row],[Sales]]</f>
        <v>0.27245693353811984</v>
      </c>
      <c r="R138" t="str">
        <f>IF(Table1[[#This Row],[Sales]]&lt;1000,"LOW",IF(Table1[[#This Row],[Sales]]&lt;5000,"MEDIUM","HIGH"))</f>
        <v>HIGH</v>
      </c>
      <c r="S138" s="2">
        <f>Table1[[#This Row],[Discount]]/100</f>
        <v>0.05</v>
      </c>
    </row>
    <row r="139" spans="1:19" x14ac:dyDescent="0.3">
      <c r="A139">
        <v>10138</v>
      </c>
      <c r="B139" s="1" t="s">
        <v>271</v>
      </c>
      <c r="C139" t="s">
        <v>272</v>
      </c>
      <c r="D139" t="s">
        <v>56</v>
      </c>
      <c r="E139" t="s">
        <v>57</v>
      </c>
      <c r="F139" t="s">
        <v>17</v>
      </c>
      <c r="G139" t="s">
        <v>75</v>
      </c>
      <c r="H139" t="s">
        <v>76</v>
      </c>
      <c r="I139">
        <v>2</v>
      </c>
      <c r="J139">
        <v>6035</v>
      </c>
      <c r="K139">
        <v>1286.67</v>
      </c>
      <c r="L139">
        <v>15</v>
      </c>
      <c r="M139" t="s">
        <v>45</v>
      </c>
      <c r="N139" t="str">
        <f>TEXT(Table1[[#This Row],[Order Date]],"MMMM")</f>
        <v>June</v>
      </c>
      <c r="O139">
        <f>YEAR(Table1[[#This Row],[Order Date]])</f>
        <v>2025</v>
      </c>
      <c r="P139" t="str">
        <f>"Q"&amp;ROUNDUP(MONTH(Table1[[#This Row],[Order Date]])/3,0)</f>
        <v>Q2</v>
      </c>
      <c r="Q139" s="3">
        <f>Table1[[#This Row],[Profit]]/Table1[[#This Row],[Sales]]</f>
        <v>0.21320132560066282</v>
      </c>
      <c r="R139" t="str">
        <f>IF(Table1[[#This Row],[Sales]]&lt;1000,"LOW",IF(Table1[[#This Row],[Sales]]&lt;5000,"MEDIUM","HIGH"))</f>
        <v>HIGH</v>
      </c>
      <c r="S139" s="2">
        <f>Table1[[#This Row],[Discount]]/100</f>
        <v>0.15</v>
      </c>
    </row>
    <row r="140" spans="1:19" x14ac:dyDescent="0.3">
      <c r="A140">
        <v>10139</v>
      </c>
      <c r="B140" s="1" t="s">
        <v>273</v>
      </c>
      <c r="C140" t="s">
        <v>82</v>
      </c>
      <c r="D140" t="s">
        <v>56</v>
      </c>
      <c r="E140" t="s">
        <v>57</v>
      </c>
      <c r="F140" t="s">
        <v>25</v>
      </c>
      <c r="G140" t="s">
        <v>26</v>
      </c>
      <c r="H140" t="s">
        <v>27</v>
      </c>
      <c r="I140">
        <v>7</v>
      </c>
      <c r="J140">
        <v>23973.599999999999</v>
      </c>
      <c r="K140">
        <v>3377.13</v>
      </c>
      <c r="L140">
        <v>20</v>
      </c>
      <c r="M140" t="s">
        <v>40</v>
      </c>
      <c r="N140" t="str">
        <f>TEXT(Table1[[#This Row],[Order Date]],"MMMM")</f>
        <v>June</v>
      </c>
      <c r="O140">
        <f>YEAR(Table1[[#This Row],[Order Date]])</f>
        <v>2025</v>
      </c>
      <c r="P140" t="str">
        <f>"Q"&amp;ROUNDUP(MONTH(Table1[[#This Row],[Order Date]])/3,0)</f>
        <v>Q2</v>
      </c>
      <c r="Q140" s="3">
        <f>Table1[[#This Row],[Profit]]/Table1[[#This Row],[Sales]]</f>
        <v>0.14086870557613376</v>
      </c>
      <c r="R140" t="str">
        <f>IF(Table1[[#This Row],[Sales]]&lt;1000,"LOW",IF(Table1[[#This Row],[Sales]]&lt;5000,"MEDIUM","HIGH"))</f>
        <v>HIGH</v>
      </c>
      <c r="S140" s="2">
        <f>Table1[[#This Row],[Discount]]/100</f>
        <v>0.2</v>
      </c>
    </row>
    <row r="141" spans="1:19" x14ac:dyDescent="0.3">
      <c r="A141">
        <v>10140</v>
      </c>
      <c r="B141" s="1" t="s">
        <v>274</v>
      </c>
      <c r="C141" t="s">
        <v>275</v>
      </c>
      <c r="D141" t="s">
        <v>52</v>
      </c>
      <c r="E141" t="s">
        <v>53</v>
      </c>
      <c r="F141" t="s">
        <v>17</v>
      </c>
      <c r="G141" t="s">
        <v>18</v>
      </c>
      <c r="H141" t="s">
        <v>19</v>
      </c>
      <c r="I141">
        <v>4</v>
      </c>
      <c r="J141">
        <v>12583.4</v>
      </c>
      <c r="K141">
        <v>2906.91</v>
      </c>
      <c r="L141">
        <v>15</v>
      </c>
      <c r="M141" t="s">
        <v>45</v>
      </c>
      <c r="N141" t="str">
        <f>TEXT(Table1[[#This Row],[Order Date]],"MMMM")</f>
        <v>May</v>
      </c>
      <c r="O141">
        <f>YEAR(Table1[[#This Row],[Order Date]])</f>
        <v>2025</v>
      </c>
      <c r="P141" t="str">
        <f>"Q"&amp;ROUNDUP(MONTH(Table1[[#This Row],[Order Date]])/3,0)</f>
        <v>Q2</v>
      </c>
      <c r="Q141" s="3">
        <f>Table1[[#This Row],[Profit]]/Table1[[#This Row],[Sales]]</f>
        <v>0.23101149132984725</v>
      </c>
      <c r="R141" t="str">
        <f>IF(Table1[[#This Row],[Sales]]&lt;1000,"LOW",IF(Table1[[#This Row],[Sales]]&lt;5000,"MEDIUM","HIGH"))</f>
        <v>HIGH</v>
      </c>
      <c r="S141" s="2">
        <f>Table1[[#This Row],[Discount]]/100</f>
        <v>0.15</v>
      </c>
    </row>
    <row r="142" spans="1:19" x14ac:dyDescent="0.3">
      <c r="A142">
        <v>10141</v>
      </c>
      <c r="B142" s="1" t="s">
        <v>87</v>
      </c>
      <c r="C142" t="s">
        <v>276</v>
      </c>
      <c r="D142" t="s">
        <v>36</v>
      </c>
      <c r="E142" t="s">
        <v>37</v>
      </c>
      <c r="F142" t="s">
        <v>31</v>
      </c>
      <c r="G142" t="s">
        <v>124</v>
      </c>
      <c r="H142" t="s">
        <v>125</v>
      </c>
      <c r="I142">
        <v>2</v>
      </c>
      <c r="J142">
        <v>2739.2</v>
      </c>
      <c r="K142">
        <v>530.75</v>
      </c>
      <c r="L142">
        <v>20</v>
      </c>
      <c r="M142" t="s">
        <v>20</v>
      </c>
      <c r="N142" t="str">
        <f>TEXT(Table1[[#This Row],[Order Date]],"MMMM")</f>
        <v>July</v>
      </c>
      <c r="O142">
        <f>YEAR(Table1[[#This Row],[Order Date]])</f>
        <v>2025</v>
      </c>
      <c r="P142" t="str">
        <f>"Q"&amp;ROUNDUP(MONTH(Table1[[#This Row],[Order Date]])/3,0)</f>
        <v>Q3</v>
      </c>
      <c r="Q142" s="3">
        <f>Table1[[#This Row],[Profit]]/Table1[[#This Row],[Sales]]</f>
        <v>0.19376095210280375</v>
      </c>
      <c r="R142" t="str">
        <f>IF(Table1[[#This Row],[Sales]]&lt;1000,"LOW",IF(Table1[[#This Row],[Sales]]&lt;5000,"MEDIUM","HIGH"))</f>
        <v>MEDIUM</v>
      </c>
      <c r="S142" s="2">
        <f>Table1[[#This Row],[Discount]]/100</f>
        <v>0.2</v>
      </c>
    </row>
    <row r="143" spans="1:19" x14ac:dyDescent="0.3">
      <c r="A143">
        <v>10142</v>
      </c>
      <c r="B143" s="1" t="s">
        <v>163</v>
      </c>
      <c r="C143" t="s">
        <v>277</v>
      </c>
      <c r="D143" t="s">
        <v>56</v>
      </c>
      <c r="E143" t="s">
        <v>57</v>
      </c>
      <c r="F143" t="s">
        <v>17</v>
      </c>
      <c r="G143" t="s">
        <v>18</v>
      </c>
      <c r="H143" t="s">
        <v>19</v>
      </c>
      <c r="I143">
        <v>5</v>
      </c>
      <c r="J143">
        <v>17869.5</v>
      </c>
      <c r="K143">
        <v>1758.35</v>
      </c>
      <c r="L143">
        <v>5</v>
      </c>
      <c r="M143" t="s">
        <v>28</v>
      </c>
      <c r="N143" t="str">
        <f>TEXT(Table1[[#This Row],[Order Date]],"MMMM")</f>
        <v>April</v>
      </c>
      <c r="O143">
        <f>YEAR(Table1[[#This Row],[Order Date]])</f>
        <v>2025</v>
      </c>
      <c r="P143" t="str">
        <f>"Q"&amp;ROUNDUP(MONTH(Table1[[#This Row],[Order Date]])/3,0)</f>
        <v>Q2</v>
      </c>
      <c r="Q143" s="3">
        <f>Table1[[#This Row],[Profit]]/Table1[[#This Row],[Sales]]</f>
        <v>9.8399507540781778E-2</v>
      </c>
      <c r="R143" t="str">
        <f>IF(Table1[[#This Row],[Sales]]&lt;1000,"LOW",IF(Table1[[#This Row],[Sales]]&lt;5000,"MEDIUM","HIGH"))</f>
        <v>HIGH</v>
      </c>
      <c r="S143" s="2">
        <f>Table1[[#This Row],[Discount]]/100</f>
        <v>0.05</v>
      </c>
    </row>
    <row r="144" spans="1:19" x14ac:dyDescent="0.3">
      <c r="A144">
        <v>10143</v>
      </c>
      <c r="B144" s="1" t="s">
        <v>278</v>
      </c>
      <c r="C144" t="s">
        <v>279</v>
      </c>
      <c r="D144" t="s">
        <v>66</v>
      </c>
      <c r="E144" t="s">
        <v>16</v>
      </c>
      <c r="F144" t="s">
        <v>17</v>
      </c>
      <c r="G144" t="s">
        <v>75</v>
      </c>
      <c r="H144" t="s">
        <v>116</v>
      </c>
      <c r="I144">
        <v>5</v>
      </c>
      <c r="J144">
        <v>5110</v>
      </c>
      <c r="K144">
        <v>1452.53</v>
      </c>
      <c r="L144">
        <v>0</v>
      </c>
      <c r="M144" t="s">
        <v>45</v>
      </c>
      <c r="N144" t="str">
        <f>TEXT(Table1[[#This Row],[Order Date]],"MMMM")</f>
        <v>March</v>
      </c>
      <c r="O144">
        <f>YEAR(Table1[[#This Row],[Order Date]])</f>
        <v>2025</v>
      </c>
      <c r="P144" t="str">
        <f>"Q"&amp;ROUNDUP(MONTH(Table1[[#This Row],[Order Date]])/3,0)</f>
        <v>Q1</v>
      </c>
      <c r="Q144" s="3">
        <f>Table1[[#This Row],[Profit]]/Table1[[#This Row],[Sales]]</f>
        <v>0.28425244618395301</v>
      </c>
      <c r="R144" t="str">
        <f>IF(Table1[[#This Row],[Sales]]&lt;1000,"LOW",IF(Table1[[#This Row],[Sales]]&lt;5000,"MEDIUM","HIGH"))</f>
        <v>HIGH</v>
      </c>
      <c r="S144" s="2">
        <f>Table1[[#This Row],[Discount]]/100</f>
        <v>0</v>
      </c>
    </row>
    <row r="145" spans="1:19" x14ac:dyDescent="0.3">
      <c r="A145">
        <v>10144</v>
      </c>
      <c r="B145" s="1" t="s">
        <v>280</v>
      </c>
      <c r="C145" t="s">
        <v>281</v>
      </c>
      <c r="D145" t="s">
        <v>23</v>
      </c>
      <c r="E145" t="s">
        <v>24</v>
      </c>
      <c r="F145" t="s">
        <v>31</v>
      </c>
      <c r="G145" t="s">
        <v>89</v>
      </c>
      <c r="H145" t="s">
        <v>90</v>
      </c>
      <c r="I145">
        <v>7</v>
      </c>
      <c r="J145">
        <v>15097.6</v>
      </c>
      <c r="K145">
        <v>3342.84</v>
      </c>
      <c r="L145">
        <v>20</v>
      </c>
      <c r="M145" t="s">
        <v>40</v>
      </c>
      <c r="N145" t="str">
        <f>TEXT(Table1[[#This Row],[Order Date]],"MMMM")</f>
        <v>May</v>
      </c>
      <c r="O145">
        <f>YEAR(Table1[[#This Row],[Order Date]])</f>
        <v>2025</v>
      </c>
      <c r="P145" t="str">
        <f>"Q"&amp;ROUNDUP(MONTH(Table1[[#This Row],[Order Date]])/3,0)</f>
        <v>Q2</v>
      </c>
      <c r="Q145" s="3">
        <f>Table1[[#This Row],[Profit]]/Table1[[#This Row],[Sales]]</f>
        <v>0.22141532428995336</v>
      </c>
      <c r="R145" t="str">
        <f>IF(Table1[[#This Row],[Sales]]&lt;1000,"LOW",IF(Table1[[#This Row],[Sales]]&lt;5000,"MEDIUM","HIGH"))</f>
        <v>HIGH</v>
      </c>
      <c r="S145" s="2">
        <f>Table1[[#This Row],[Discount]]/100</f>
        <v>0.2</v>
      </c>
    </row>
    <row r="146" spans="1:19" x14ac:dyDescent="0.3">
      <c r="A146">
        <v>10145</v>
      </c>
      <c r="B146" s="1" t="s">
        <v>282</v>
      </c>
      <c r="C146" t="s">
        <v>283</v>
      </c>
      <c r="D146" t="s">
        <v>74</v>
      </c>
      <c r="E146" t="s">
        <v>74</v>
      </c>
      <c r="F146" t="s">
        <v>31</v>
      </c>
      <c r="G146" t="s">
        <v>38</v>
      </c>
      <c r="H146" t="s">
        <v>39</v>
      </c>
      <c r="I146">
        <v>4</v>
      </c>
      <c r="J146">
        <v>7571.2</v>
      </c>
      <c r="K146">
        <v>622.74</v>
      </c>
      <c r="L146">
        <v>20</v>
      </c>
      <c r="M146" t="s">
        <v>40</v>
      </c>
      <c r="N146" t="str">
        <f>TEXT(Table1[[#This Row],[Order Date]],"MMMM")</f>
        <v>May</v>
      </c>
      <c r="O146">
        <f>YEAR(Table1[[#This Row],[Order Date]])</f>
        <v>2025</v>
      </c>
      <c r="P146" t="str">
        <f>"Q"&amp;ROUNDUP(MONTH(Table1[[#This Row],[Order Date]])/3,0)</f>
        <v>Q2</v>
      </c>
      <c r="Q146" s="3">
        <f>Table1[[#This Row],[Profit]]/Table1[[#This Row],[Sales]]</f>
        <v>8.2251162299239219E-2</v>
      </c>
      <c r="R146" t="str">
        <f>IF(Table1[[#This Row],[Sales]]&lt;1000,"LOW",IF(Table1[[#This Row],[Sales]]&lt;5000,"MEDIUM","HIGH"))</f>
        <v>HIGH</v>
      </c>
      <c r="S146" s="2">
        <f>Table1[[#This Row],[Discount]]/100</f>
        <v>0.2</v>
      </c>
    </row>
    <row r="147" spans="1:19" x14ac:dyDescent="0.3">
      <c r="A147">
        <v>10146</v>
      </c>
      <c r="B147" s="1" t="s">
        <v>284</v>
      </c>
      <c r="C147" t="s">
        <v>135</v>
      </c>
      <c r="D147" t="s">
        <v>36</v>
      </c>
      <c r="E147" t="s">
        <v>37</v>
      </c>
      <c r="F147" t="s">
        <v>25</v>
      </c>
      <c r="G147" t="s">
        <v>95</v>
      </c>
      <c r="H147" t="s">
        <v>96</v>
      </c>
      <c r="I147">
        <v>4</v>
      </c>
      <c r="J147">
        <v>15363.2</v>
      </c>
      <c r="K147">
        <v>2542.23</v>
      </c>
      <c r="L147">
        <v>20</v>
      </c>
      <c r="M147" t="s">
        <v>49</v>
      </c>
      <c r="N147" t="str">
        <f>TEXT(Table1[[#This Row],[Order Date]],"MMMM")</f>
        <v>June</v>
      </c>
      <c r="O147">
        <f>YEAR(Table1[[#This Row],[Order Date]])</f>
        <v>2025</v>
      </c>
      <c r="P147" t="str">
        <f>"Q"&amp;ROUNDUP(MONTH(Table1[[#This Row],[Order Date]])/3,0)</f>
        <v>Q2</v>
      </c>
      <c r="Q147" s="3">
        <f>Table1[[#This Row],[Profit]]/Table1[[#This Row],[Sales]]</f>
        <v>0.16547529160591543</v>
      </c>
      <c r="R147" t="str">
        <f>IF(Table1[[#This Row],[Sales]]&lt;1000,"LOW",IF(Table1[[#This Row],[Sales]]&lt;5000,"MEDIUM","HIGH"))</f>
        <v>HIGH</v>
      </c>
      <c r="S147" s="2">
        <f>Table1[[#This Row],[Discount]]/100</f>
        <v>0.2</v>
      </c>
    </row>
    <row r="148" spans="1:19" x14ac:dyDescent="0.3">
      <c r="A148">
        <v>10147</v>
      </c>
      <c r="B148" s="1" t="s">
        <v>153</v>
      </c>
      <c r="C148" t="s">
        <v>100</v>
      </c>
      <c r="D148" t="s">
        <v>60</v>
      </c>
      <c r="E148" t="s">
        <v>61</v>
      </c>
      <c r="F148" t="s">
        <v>17</v>
      </c>
      <c r="G148" t="s">
        <v>75</v>
      </c>
      <c r="H148" t="s">
        <v>116</v>
      </c>
      <c r="I148">
        <v>4</v>
      </c>
      <c r="J148">
        <v>6783</v>
      </c>
      <c r="K148">
        <v>1064.8499999999999</v>
      </c>
      <c r="L148">
        <v>15</v>
      </c>
      <c r="M148" t="s">
        <v>40</v>
      </c>
      <c r="N148" t="str">
        <f>TEXT(Table1[[#This Row],[Order Date]],"MMMM")</f>
        <v>August</v>
      </c>
      <c r="O148">
        <f>YEAR(Table1[[#This Row],[Order Date]])</f>
        <v>2025</v>
      </c>
      <c r="P148" t="str">
        <f>"Q"&amp;ROUNDUP(MONTH(Table1[[#This Row],[Order Date]])/3,0)</f>
        <v>Q3</v>
      </c>
      <c r="Q148" s="3">
        <f>Table1[[#This Row],[Profit]]/Table1[[#This Row],[Sales]]</f>
        <v>0.15698805838124721</v>
      </c>
      <c r="R148" t="str">
        <f>IF(Table1[[#This Row],[Sales]]&lt;1000,"LOW",IF(Table1[[#This Row],[Sales]]&lt;5000,"MEDIUM","HIGH"))</f>
        <v>HIGH</v>
      </c>
      <c r="S148" s="2">
        <f>Table1[[#This Row],[Discount]]/100</f>
        <v>0.15</v>
      </c>
    </row>
    <row r="149" spans="1:19" x14ac:dyDescent="0.3">
      <c r="A149">
        <v>10148</v>
      </c>
      <c r="B149" s="1" t="s">
        <v>285</v>
      </c>
      <c r="C149" t="s">
        <v>180</v>
      </c>
      <c r="D149" t="s">
        <v>74</v>
      </c>
      <c r="E149" t="s">
        <v>74</v>
      </c>
      <c r="F149" t="s">
        <v>25</v>
      </c>
      <c r="G149" t="s">
        <v>95</v>
      </c>
      <c r="H149" t="s">
        <v>96</v>
      </c>
      <c r="I149">
        <v>5</v>
      </c>
      <c r="J149">
        <v>1228</v>
      </c>
      <c r="K149">
        <v>278.12</v>
      </c>
      <c r="L149">
        <v>20</v>
      </c>
      <c r="M149" t="s">
        <v>20</v>
      </c>
      <c r="N149" t="str">
        <f>TEXT(Table1[[#This Row],[Order Date]],"MMMM")</f>
        <v>March</v>
      </c>
      <c r="O149">
        <f>YEAR(Table1[[#This Row],[Order Date]])</f>
        <v>2025</v>
      </c>
      <c r="P149" t="str">
        <f>"Q"&amp;ROUNDUP(MONTH(Table1[[#This Row],[Order Date]])/3,0)</f>
        <v>Q1</v>
      </c>
      <c r="Q149" s="3">
        <f>Table1[[#This Row],[Profit]]/Table1[[#This Row],[Sales]]</f>
        <v>0.22648208469055375</v>
      </c>
      <c r="R149" t="str">
        <f>IF(Table1[[#This Row],[Sales]]&lt;1000,"LOW",IF(Table1[[#This Row],[Sales]]&lt;5000,"MEDIUM","HIGH"))</f>
        <v>MEDIUM</v>
      </c>
      <c r="S149" s="2">
        <f>Table1[[#This Row],[Discount]]/100</f>
        <v>0.2</v>
      </c>
    </row>
    <row r="150" spans="1:19" x14ac:dyDescent="0.3">
      <c r="A150">
        <v>10149</v>
      </c>
      <c r="B150" s="1" t="s">
        <v>147</v>
      </c>
      <c r="C150" t="s">
        <v>286</v>
      </c>
      <c r="D150" t="s">
        <v>52</v>
      </c>
      <c r="E150" t="s">
        <v>53</v>
      </c>
      <c r="F150" t="s">
        <v>31</v>
      </c>
      <c r="G150" t="s">
        <v>89</v>
      </c>
      <c r="H150" t="s">
        <v>90</v>
      </c>
      <c r="I150">
        <v>8</v>
      </c>
      <c r="J150">
        <v>9248</v>
      </c>
      <c r="K150">
        <v>1993.36</v>
      </c>
      <c r="L150">
        <v>20</v>
      </c>
      <c r="M150" t="s">
        <v>49</v>
      </c>
      <c r="N150" t="str">
        <f>TEXT(Table1[[#This Row],[Order Date]],"MMMM")</f>
        <v>March</v>
      </c>
      <c r="O150">
        <f>YEAR(Table1[[#This Row],[Order Date]])</f>
        <v>2025</v>
      </c>
      <c r="P150" t="str">
        <f>"Q"&amp;ROUNDUP(MONTH(Table1[[#This Row],[Order Date]])/3,0)</f>
        <v>Q1</v>
      </c>
      <c r="Q150" s="3">
        <f>Table1[[#This Row],[Profit]]/Table1[[#This Row],[Sales]]</f>
        <v>0.21554498269896194</v>
      </c>
      <c r="R150" t="str">
        <f>IF(Table1[[#This Row],[Sales]]&lt;1000,"LOW",IF(Table1[[#This Row],[Sales]]&lt;5000,"MEDIUM","HIGH"))</f>
        <v>HIGH</v>
      </c>
      <c r="S150" s="2">
        <f>Table1[[#This Row],[Discount]]/100</f>
        <v>0.2</v>
      </c>
    </row>
    <row r="151" spans="1:19" x14ac:dyDescent="0.3">
      <c r="A151">
        <v>10150</v>
      </c>
      <c r="B151" s="1" t="s">
        <v>271</v>
      </c>
      <c r="C151" t="s">
        <v>251</v>
      </c>
      <c r="D151" t="s">
        <v>15</v>
      </c>
      <c r="E151" t="s">
        <v>16</v>
      </c>
      <c r="F151" t="s">
        <v>17</v>
      </c>
      <c r="G151" t="s">
        <v>75</v>
      </c>
      <c r="H151" t="s">
        <v>76</v>
      </c>
      <c r="I151">
        <v>7</v>
      </c>
      <c r="J151">
        <v>27191.85</v>
      </c>
      <c r="K151">
        <v>3621.26</v>
      </c>
      <c r="L151">
        <v>5</v>
      </c>
      <c r="M151" t="s">
        <v>20</v>
      </c>
      <c r="N151" t="str">
        <f>TEXT(Table1[[#This Row],[Order Date]],"MMMM")</f>
        <v>June</v>
      </c>
      <c r="O151">
        <f>YEAR(Table1[[#This Row],[Order Date]])</f>
        <v>2025</v>
      </c>
      <c r="P151" t="str">
        <f>"Q"&amp;ROUNDUP(MONTH(Table1[[#This Row],[Order Date]])/3,0)</f>
        <v>Q2</v>
      </c>
      <c r="Q151" s="3">
        <f>Table1[[#This Row],[Profit]]/Table1[[#This Row],[Sales]]</f>
        <v>0.13317446220099038</v>
      </c>
      <c r="R151" t="str">
        <f>IF(Table1[[#This Row],[Sales]]&lt;1000,"LOW",IF(Table1[[#This Row],[Sales]]&lt;5000,"MEDIUM","HIGH"))</f>
        <v>HIGH</v>
      </c>
      <c r="S151" s="2">
        <f>Table1[[#This Row],[Discount]]/100</f>
        <v>0.05</v>
      </c>
    </row>
    <row r="152" spans="1:19" x14ac:dyDescent="0.3">
      <c r="A152">
        <v>10151</v>
      </c>
      <c r="B152" s="1" t="s">
        <v>287</v>
      </c>
      <c r="C152" t="s">
        <v>288</v>
      </c>
      <c r="D152" t="s">
        <v>66</v>
      </c>
      <c r="E152" t="s">
        <v>16</v>
      </c>
      <c r="F152" t="s">
        <v>31</v>
      </c>
      <c r="G152" t="s">
        <v>124</v>
      </c>
      <c r="H152" t="s">
        <v>125</v>
      </c>
      <c r="I152">
        <v>6</v>
      </c>
      <c r="J152">
        <v>12144</v>
      </c>
      <c r="K152">
        <v>2388.09</v>
      </c>
      <c r="L152">
        <v>0</v>
      </c>
      <c r="M152" t="s">
        <v>20</v>
      </c>
      <c r="N152" t="str">
        <f>TEXT(Table1[[#This Row],[Order Date]],"MMMM")</f>
        <v>July</v>
      </c>
      <c r="O152">
        <f>YEAR(Table1[[#This Row],[Order Date]])</f>
        <v>2025</v>
      </c>
      <c r="P152" t="str">
        <f>"Q"&amp;ROUNDUP(MONTH(Table1[[#This Row],[Order Date]])/3,0)</f>
        <v>Q3</v>
      </c>
      <c r="Q152" s="3">
        <f>Table1[[#This Row],[Profit]]/Table1[[#This Row],[Sales]]</f>
        <v>0.19664772727272728</v>
      </c>
      <c r="R152" t="str">
        <f>IF(Table1[[#This Row],[Sales]]&lt;1000,"LOW",IF(Table1[[#This Row],[Sales]]&lt;5000,"MEDIUM","HIGH"))</f>
        <v>HIGH</v>
      </c>
      <c r="S152" s="2">
        <f>Table1[[#This Row],[Discount]]/100</f>
        <v>0</v>
      </c>
    </row>
    <row r="153" spans="1:19" x14ac:dyDescent="0.3">
      <c r="A153">
        <v>10152</v>
      </c>
      <c r="B153" s="1" t="s">
        <v>289</v>
      </c>
      <c r="C153" t="s">
        <v>92</v>
      </c>
      <c r="D153" t="s">
        <v>15</v>
      </c>
      <c r="E153" t="s">
        <v>16</v>
      </c>
      <c r="F153" t="s">
        <v>25</v>
      </c>
      <c r="G153" t="s">
        <v>95</v>
      </c>
      <c r="H153" t="s">
        <v>96</v>
      </c>
      <c r="I153">
        <v>4</v>
      </c>
      <c r="J153">
        <v>6592</v>
      </c>
      <c r="K153">
        <v>1111.49</v>
      </c>
      <c r="L153">
        <v>0</v>
      </c>
      <c r="M153" t="s">
        <v>28</v>
      </c>
      <c r="N153" t="str">
        <f>TEXT(Table1[[#This Row],[Order Date]],"MMMM")</f>
        <v>January</v>
      </c>
      <c r="O153">
        <f>YEAR(Table1[[#This Row],[Order Date]])</f>
        <v>2025</v>
      </c>
      <c r="P153" t="str">
        <f>"Q"&amp;ROUNDUP(MONTH(Table1[[#This Row],[Order Date]])/3,0)</f>
        <v>Q1</v>
      </c>
      <c r="Q153" s="3">
        <f>Table1[[#This Row],[Profit]]/Table1[[#This Row],[Sales]]</f>
        <v>0.16861195388349515</v>
      </c>
      <c r="R153" t="str">
        <f>IF(Table1[[#This Row],[Sales]]&lt;1000,"LOW",IF(Table1[[#This Row],[Sales]]&lt;5000,"MEDIUM","HIGH"))</f>
        <v>HIGH</v>
      </c>
      <c r="S153" s="2">
        <f>Table1[[#This Row],[Discount]]/100</f>
        <v>0</v>
      </c>
    </row>
    <row r="154" spans="1:19" x14ac:dyDescent="0.3">
      <c r="A154">
        <v>10153</v>
      </c>
      <c r="B154" s="1" t="s">
        <v>290</v>
      </c>
      <c r="C154" t="s">
        <v>152</v>
      </c>
      <c r="D154" t="s">
        <v>74</v>
      </c>
      <c r="E154" t="s">
        <v>74</v>
      </c>
      <c r="F154" t="s">
        <v>25</v>
      </c>
      <c r="G154" t="s">
        <v>26</v>
      </c>
      <c r="H154" t="s">
        <v>71</v>
      </c>
      <c r="I154">
        <v>8</v>
      </c>
      <c r="J154">
        <v>931.6</v>
      </c>
      <c r="K154">
        <v>224.89</v>
      </c>
      <c r="L154">
        <v>15</v>
      </c>
      <c r="M154" t="s">
        <v>45</v>
      </c>
      <c r="N154" t="str">
        <f>TEXT(Table1[[#This Row],[Order Date]],"MMMM")</f>
        <v>June</v>
      </c>
      <c r="O154">
        <f>YEAR(Table1[[#This Row],[Order Date]])</f>
        <v>2025</v>
      </c>
      <c r="P154" t="str">
        <f>"Q"&amp;ROUNDUP(MONTH(Table1[[#This Row],[Order Date]])/3,0)</f>
        <v>Q2</v>
      </c>
      <c r="Q154" s="3">
        <f>Table1[[#This Row],[Profit]]/Table1[[#This Row],[Sales]]</f>
        <v>0.24140188922284239</v>
      </c>
      <c r="R154" t="str">
        <f>IF(Table1[[#This Row],[Sales]]&lt;1000,"LOW",IF(Table1[[#This Row],[Sales]]&lt;5000,"MEDIUM","HIGH"))</f>
        <v>LOW</v>
      </c>
      <c r="S154" s="2">
        <f>Table1[[#This Row],[Discount]]/100</f>
        <v>0.15</v>
      </c>
    </row>
    <row r="155" spans="1:19" x14ac:dyDescent="0.3">
      <c r="A155">
        <v>10154</v>
      </c>
      <c r="B155" s="1" t="s">
        <v>110</v>
      </c>
      <c r="C155" t="s">
        <v>272</v>
      </c>
      <c r="D155" t="s">
        <v>60</v>
      </c>
      <c r="E155" t="s">
        <v>61</v>
      </c>
      <c r="F155" t="s">
        <v>25</v>
      </c>
      <c r="G155" t="s">
        <v>26</v>
      </c>
      <c r="H155" t="s">
        <v>48</v>
      </c>
      <c r="I155">
        <v>3</v>
      </c>
      <c r="J155">
        <v>6607.2</v>
      </c>
      <c r="K155">
        <v>629.83000000000004</v>
      </c>
      <c r="L155">
        <v>20</v>
      </c>
      <c r="M155" t="s">
        <v>20</v>
      </c>
      <c r="N155" t="str">
        <f>TEXT(Table1[[#This Row],[Order Date]],"MMMM")</f>
        <v>April</v>
      </c>
      <c r="O155">
        <f>YEAR(Table1[[#This Row],[Order Date]])</f>
        <v>2025</v>
      </c>
      <c r="P155" t="str">
        <f>"Q"&amp;ROUNDUP(MONTH(Table1[[#This Row],[Order Date]])/3,0)</f>
        <v>Q2</v>
      </c>
      <c r="Q155" s="3">
        <f>Table1[[#This Row],[Profit]]/Table1[[#This Row],[Sales]]</f>
        <v>9.5324797190943222E-2</v>
      </c>
      <c r="R155" t="str">
        <f>IF(Table1[[#This Row],[Sales]]&lt;1000,"LOW",IF(Table1[[#This Row],[Sales]]&lt;5000,"MEDIUM","HIGH"))</f>
        <v>HIGH</v>
      </c>
      <c r="S155" s="2">
        <f>Table1[[#This Row],[Discount]]/100</f>
        <v>0.2</v>
      </c>
    </row>
    <row r="156" spans="1:19" x14ac:dyDescent="0.3">
      <c r="A156">
        <v>10155</v>
      </c>
      <c r="B156" s="1" t="s">
        <v>230</v>
      </c>
      <c r="C156" t="s">
        <v>249</v>
      </c>
      <c r="D156" t="s">
        <v>52</v>
      </c>
      <c r="E156" t="s">
        <v>53</v>
      </c>
      <c r="F156" t="s">
        <v>17</v>
      </c>
      <c r="G156" t="s">
        <v>75</v>
      </c>
      <c r="H156" t="s">
        <v>76</v>
      </c>
      <c r="I156">
        <v>1</v>
      </c>
      <c r="J156">
        <v>641.6</v>
      </c>
      <c r="K156">
        <v>166.95</v>
      </c>
      <c r="L156">
        <v>20</v>
      </c>
      <c r="M156" t="s">
        <v>45</v>
      </c>
      <c r="N156" t="str">
        <f>TEXT(Table1[[#This Row],[Order Date]],"MMMM")</f>
        <v>February</v>
      </c>
      <c r="O156">
        <f>YEAR(Table1[[#This Row],[Order Date]])</f>
        <v>2025</v>
      </c>
      <c r="P156" t="str">
        <f>"Q"&amp;ROUNDUP(MONTH(Table1[[#This Row],[Order Date]])/3,0)</f>
        <v>Q1</v>
      </c>
      <c r="Q156" s="3">
        <f>Table1[[#This Row],[Profit]]/Table1[[#This Row],[Sales]]</f>
        <v>0.26020885286783041</v>
      </c>
      <c r="R156" t="str">
        <f>IF(Table1[[#This Row],[Sales]]&lt;1000,"LOW",IF(Table1[[#This Row],[Sales]]&lt;5000,"MEDIUM","HIGH"))</f>
        <v>LOW</v>
      </c>
      <c r="S156" s="2">
        <f>Table1[[#This Row],[Discount]]/100</f>
        <v>0.2</v>
      </c>
    </row>
    <row r="157" spans="1:19" x14ac:dyDescent="0.3">
      <c r="A157">
        <v>10156</v>
      </c>
      <c r="B157" s="1" t="s">
        <v>149</v>
      </c>
      <c r="C157" t="s">
        <v>291</v>
      </c>
      <c r="D157" t="s">
        <v>74</v>
      </c>
      <c r="E157" t="s">
        <v>74</v>
      </c>
      <c r="F157" t="s">
        <v>31</v>
      </c>
      <c r="G157" t="s">
        <v>32</v>
      </c>
      <c r="H157" t="s">
        <v>33</v>
      </c>
      <c r="I157">
        <v>1</v>
      </c>
      <c r="J157">
        <v>408</v>
      </c>
      <c r="K157">
        <v>45.93</v>
      </c>
      <c r="L157">
        <v>20</v>
      </c>
      <c r="M157" t="s">
        <v>28</v>
      </c>
      <c r="N157" t="str">
        <f>TEXT(Table1[[#This Row],[Order Date]],"MMMM")</f>
        <v>March</v>
      </c>
      <c r="O157">
        <f>YEAR(Table1[[#This Row],[Order Date]])</f>
        <v>2025</v>
      </c>
      <c r="P157" t="str">
        <f>"Q"&amp;ROUNDUP(MONTH(Table1[[#This Row],[Order Date]])/3,0)</f>
        <v>Q1</v>
      </c>
      <c r="Q157" s="3">
        <f>Table1[[#This Row],[Profit]]/Table1[[#This Row],[Sales]]</f>
        <v>0.11257352941176471</v>
      </c>
      <c r="R157" t="str">
        <f>IF(Table1[[#This Row],[Sales]]&lt;1000,"LOW",IF(Table1[[#This Row],[Sales]]&lt;5000,"MEDIUM","HIGH"))</f>
        <v>LOW</v>
      </c>
      <c r="S157" s="2">
        <f>Table1[[#This Row],[Discount]]/100</f>
        <v>0.2</v>
      </c>
    </row>
    <row r="158" spans="1:19" x14ac:dyDescent="0.3">
      <c r="A158">
        <v>10157</v>
      </c>
      <c r="B158" s="1" t="s">
        <v>97</v>
      </c>
      <c r="C158" t="s">
        <v>292</v>
      </c>
      <c r="D158" t="s">
        <v>60</v>
      </c>
      <c r="E158" t="s">
        <v>61</v>
      </c>
      <c r="F158" t="s">
        <v>25</v>
      </c>
      <c r="G158" t="s">
        <v>26</v>
      </c>
      <c r="H158" t="s">
        <v>48</v>
      </c>
      <c r="I158">
        <v>1</v>
      </c>
      <c r="J158">
        <v>2718</v>
      </c>
      <c r="K158">
        <v>629.12</v>
      </c>
      <c r="L158">
        <v>10</v>
      </c>
      <c r="M158" t="s">
        <v>45</v>
      </c>
      <c r="N158" t="str">
        <f>TEXT(Table1[[#This Row],[Order Date]],"MMMM")</f>
        <v>May</v>
      </c>
      <c r="O158">
        <f>YEAR(Table1[[#This Row],[Order Date]])</f>
        <v>2025</v>
      </c>
      <c r="P158" t="str">
        <f>"Q"&amp;ROUNDUP(MONTH(Table1[[#This Row],[Order Date]])/3,0)</f>
        <v>Q2</v>
      </c>
      <c r="Q158" s="3">
        <f>Table1[[#This Row],[Profit]]/Table1[[#This Row],[Sales]]</f>
        <v>0.23146431199411333</v>
      </c>
      <c r="R158" t="str">
        <f>IF(Table1[[#This Row],[Sales]]&lt;1000,"LOW",IF(Table1[[#This Row],[Sales]]&lt;5000,"MEDIUM","HIGH"))</f>
        <v>MEDIUM</v>
      </c>
      <c r="S158" s="2">
        <f>Table1[[#This Row],[Discount]]/100</f>
        <v>0.1</v>
      </c>
    </row>
    <row r="159" spans="1:19" x14ac:dyDescent="0.3">
      <c r="A159">
        <v>10158</v>
      </c>
      <c r="B159" s="1" t="s">
        <v>293</v>
      </c>
      <c r="C159" t="s">
        <v>231</v>
      </c>
      <c r="D159" t="s">
        <v>15</v>
      </c>
      <c r="E159" t="s">
        <v>16</v>
      </c>
      <c r="F159" t="s">
        <v>31</v>
      </c>
      <c r="G159" t="s">
        <v>32</v>
      </c>
      <c r="H159" t="s">
        <v>33</v>
      </c>
      <c r="I159">
        <v>8</v>
      </c>
      <c r="J159">
        <v>31814.400000000001</v>
      </c>
      <c r="K159">
        <v>8969.82</v>
      </c>
      <c r="L159">
        <v>20</v>
      </c>
      <c r="M159" t="s">
        <v>28</v>
      </c>
      <c r="N159" t="str">
        <f>TEXT(Table1[[#This Row],[Order Date]],"MMMM")</f>
        <v>December</v>
      </c>
      <c r="O159">
        <f>YEAR(Table1[[#This Row],[Order Date]])</f>
        <v>2025</v>
      </c>
      <c r="P159" t="str">
        <f>"Q"&amp;ROUNDUP(MONTH(Table1[[#This Row],[Order Date]])/3,0)</f>
        <v>Q4</v>
      </c>
      <c r="Q159" s="3">
        <f>Table1[[#This Row],[Profit]]/Table1[[#This Row],[Sales]]</f>
        <v>0.28194213940856966</v>
      </c>
      <c r="R159" t="str">
        <f>IF(Table1[[#This Row],[Sales]]&lt;1000,"LOW",IF(Table1[[#This Row],[Sales]]&lt;5000,"MEDIUM","HIGH"))</f>
        <v>HIGH</v>
      </c>
      <c r="S159" s="2">
        <f>Table1[[#This Row],[Discount]]/100</f>
        <v>0.2</v>
      </c>
    </row>
    <row r="160" spans="1:19" x14ac:dyDescent="0.3">
      <c r="A160">
        <v>10159</v>
      </c>
      <c r="B160" s="1" t="s">
        <v>46</v>
      </c>
      <c r="C160" t="s">
        <v>88</v>
      </c>
      <c r="D160" t="s">
        <v>60</v>
      </c>
      <c r="E160" t="s">
        <v>61</v>
      </c>
      <c r="F160" t="s">
        <v>25</v>
      </c>
      <c r="G160" t="s">
        <v>26</v>
      </c>
      <c r="H160" t="s">
        <v>48</v>
      </c>
      <c r="I160">
        <v>5</v>
      </c>
      <c r="J160">
        <v>17451.5</v>
      </c>
      <c r="K160">
        <v>2541.9</v>
      </c>
      <c r="L160">
        <v>5</v>
      </c>
      <c r="M160" t="s">
        <v>45</v>
      </c>
      <c r="N160" t="str">
        <f>TEXT(Table1[[#This Row],[Order Date]],"MMMM")</f>
        <v>August</v>
      </c>
      <c r="O160">
        <f>YEAR(Table1[[#This Row],[Order Date]])</f>
        <v>2025</v>
      </c>
      <c r="P160" t="str">
        <f>"Q"&amp;ROUNDUP(MONTH(Table1[[#This Row],[Order Date]])/3,0)</f>
        <v>Q3</v>
      </c>
      <c r="Q160" s="3">
        <f>Table1[[#This Row],[Profit]]/Table1[[#This Row],[Sales]]</f>
        <v>0.1456551012806922</v>
      </c>
      <c r="R160" t="str">
        <f>IF(Table1[[#This Row],[Sales]]&lt;1000,"LOW",IF(Table1[[#This Row],[Sales]]&lt;5000,"MEDIUM","HIGH"))</f>
        <v>HIGH</v>
      </c>
      <c r="S160" s="2">
        <f>Table1[[#This Row],[Discount]]/100</f>
        <v>0.05</v>
      </c>
    </row>
    <row r="161" spans="1:19" x14ac:dyDescent="0.3">
      <c r="A161">
        <v>10160</v>
      </c>
      <c r="B161" s="1" t="s">
        <v>294</v>
      </c>
      <c r="C161" t="s">
        <v>295</v>
      </c>
      <c r="D161" t="s">
        <v>15</v>
      </c>
      <c r="E161" t="s">
        <v>16</v>
      </c>
      <c r="F161" t="s">
        <v>31</v>
      </c>
      <c r="G161" t="s">
        <v>89</v>
      </c>
      <c r="H161" t="s">
        <v>90</v>
      </c>
      <c r="I161">
        <v>6</v>
      </c>
      <c r="J161">
        <v>24933.9</v>
      </c>
      <c r="K161">
        <v>6462.17</v>
      </c>
      <c r="L161">
        <v>15</v>
      </c>
      <c r="M161" t="s">
        <v>45</v>
      </c>
      <c r="N161" t="str">
        <f>TEXT(Table1[[#This Row],[Order Date]],"MMMM")</f>
        <v>August</v>
      </c>
      <c r="O161">
        <f>YEAR(Table1[[#This Row],[Order Date]])</f>
        <v>2025</v>
      </c>
      <c r="P161" t="str">
        <f>"Q"&amp;ROUNDUP(MONTH(Table1[[#This Row],[Order Date]])/3,0)</f>
        <v>Q3</v>
      </c>
      <c r="Q161" s="3">
        <f>Table1[[#This Row],[Profit]]/Table1[[#This Row],[Sales]]</f>
        <v>0.25917205090258644</v>
      </c>
      <c r="R161" t="str">
        <f>IF(Table1[[#This Row],[Sales]]&lt;1000,"LOW",IF(Table1[[#This Row],[Sales]]&lt;5000,"MEDIUM","HIGH"))</f>
        <v>HIGH</v>
      </c>
      <c r="S161" s="2">
        <f>Table1[[#This Row],[Discount]]/100</f>
        <v>0.15</v>
      </c>
    </row>
    <row r="162" spans="1:19" x14ac:dyDescent="0.3">
      <c r="A162">
        <v>10161</v>
      </c>
      <c r="B162" s="1" t="s">
        <v>296</v>
      </c>
      <c r="C162" t="s">
        <v>297</v>
      </c>
      <c r="D162" t="s">
        <v>15</v>
      </c>
      <c r="E162" t="s">
        <v>16</v>
      </c>
      <c r="F162" t="s">
        <v>17</v>
      </c>
      <c r="G162" t="s">
        <v>75</v>
      </c>
      <c r="H162" t="s">
        <v>76</v>
      </c>
      <c r="I162">
        <v>5</v>
      </c>
      <c r="J162">
        <v>15850.75</v>
      </c>
      <c r="K162">
        <v>2445.37</v>
      </c>
      <c r="L162">
        <v>5</v>
      </c>
      <c r="M162" t="s">
        <v>28</v>
      </c>
      <c r="N162" t="str">
        <f>TEXT(Table1[[#This Row],[Order Date]],"MMMM")</f>
        <v>February</v>
      </c>
      <c r="O162">
        <f>YEAR(Table1[[#This Row],[Order Date]])</f>
        <v>2025</v>
      </c>
      <c r="P162" t="str">
        <f>"Q"&amp;ROUNDUP(MONTH(Table1[[#This Row],[Order Date]])/3,0)</f>
        <v>Q1</v>
      </c>
      <c r="Q162" s="3">
        <f>Table1[[#This Row],[Profit]]/Table1[[#This Row],[Sales]]</f>
        <v>0.15427471886188349</v>
      </c>
      <c r="R162" t="str">
        <f>IF(Table1[[#This Row],[Sales]]&lt;1000,"LOW",IF(Table1[[#This Row],[Sales]]&lt;5000,"MEDIUM","HIGH"))</f>
        <v>HIGH</v>
      </c>
      <c r="S162" s="2">
        <f>Table1[[#This Row],[Discount]]/100</f>
        <v>0.05</v>
      </c>
    </row>
    <row r="163" spans="1:19" x14ac:dyDescent="0.3">
      <c r="A163">
        <v>10162</v>
      </c>
      <c r="B163" s="1" t="s">
        <v>262</v>
      </c>
      <c r="C163" t="s">
        <v>139</v>
      </c>
      <c r="D163" t="s">
        <v>56</v>
      </c>
      <c r="E163" t="s">
        <v>57</v>
      </c>
      <c r="F163" t="s">
        <v>17</v>
      </c>
      <c r="G163" t="s">
        <v>75</v>
      </c>
      <c r="H163" t="s">
        <v>76</v>
      </c>
      <c r="I163">
        <v>5</v>
      </c>
      <c r="J163">
        <v>6060.5</v>
      </c>
      <c r="K163">
        <v>1061.8800000000001</v>
      </c>
      <c r="L163">
        <v>15</v>
      </c>
      <c r="M163" t="s">
        <v>45</v>
      </c>
      <c r="N163" t="str">
        <f>TEXT(Table1[[#This Row],[Order Date]],"MMMM")</f>
        <v>November</v>
      </c>
      <c r="O163">
        <f>YEAR(Table1[[#This Row],[Order Date]])</f>
        <v>2025</v>
      </c>
      <c r="P163" t="str">
        <f>"Q"&amp;ROUNDUP(MONTH(Table1[[#This Row],[Order Date]])/3,0)</f>
        <v>Q4</v>
      </c>
      <c r="Q163" s="3">
        <f>Table1[[#This Row],[Profit]]/Table1[[#This Row],[Sales]]</f>
        <v>0.17521326623215908</v>
      </c>
      <c r="R163" t="str">
        <f>IF(Table1[[#This Row],[Sales]]&lt;1000,"LOW",IF(Table1[[#This Row],[Sales]]&lt;5000,"MEDIUM","HIGH"))</f>
        <v>HIGH</v>
      </c>
      <c r="S163" s="2">
        <f>Table1[[#This Row],[Discount]]/100</f>
        <v>0.15</v>
      </c>
    </row>
    <row r="164" spans="1:19" x14ac:dyDescent="0.3">
      <c r="A164">
        <v>10163</v>
      </c>
      <c r="B164" s="1" t="s">
        <v>298</v>
      </c>
      <c r="C164" t="s">
        <v>84</v>
      </c>
      <c r="D164" t="s">
        <v>56</v>
      </c>
      <c r="E164" t="s">
        <v>57</v>
      </c>
      <c r="F164" t="s">
        <v>25</v>
      </c>
      <c r="G164" t="s">
        <v>95</v>
      </c>
      <c r="H164" t="s">
        <v>96</v>
      </c>
      <c r="I164">
        <v>5</v>
      </c>
      <c r="J164">
        <v>5742.75</v>
      </c>
      <c r="K164">
        <v>807.36</v>
      </c>
      <c r="L164">
        <v>5</v>
      </c>
      <c r="M164" t="s">
        <v>28</v>
      </c>
      <c r="N164" t="str">
        <f>TEXT(Table1[[#This Row],[Order Date]],"MMMM")</f>
        <v>September</v>
      </c>
      <c r="O164">
        <f>YEAR(Table1[[#This Row],[Order Date]])</f>
        <v>2025</v>
      </c>
      <c r="P164" t="str">
        <f>"Q"&amp;ROUNDUP(MONTH(Table1[[#This Row],[Order Date]])/3,0)</f>
        <v>Q3</v>
      </c>
      <c r="Q164" s="3">
        <f>Table1[[#This Row],[Profit]]/Table1[[#This Row],[Sales]]</f>
        <v>0.14058769753167036</v>
      </c>
      <c r="R164" t="str">
        <f>IF(Table1[[#This Row],[Sales]]&lt;1000,"LOW",IF(Table1[[#This Row],[Sales]]&lt;5000,"MEDIUM","HIGH"))</f>
        <v>HIGH</v>
      </c>
      <c r="S164" s="2">
        <f>Table1[[#This Row],[Discount]]/100</f>
        <v>0.05</v>
      </c>
    </row>
    <row r="165" spans="1:19" x14ac:dyDescent="0.3">
      <c r="A165">
        <v>10164</v>
      </c>
      <c r="B165" s="1" t="s">
        <v>132</v>
      </c>
      <c r="C165" t="s">
        <v>118</v>
      </c>
      <c r="D165" t="s">
        <v>60</v>
      </c>
      <c r="E165" t="s">
        <v>61</v>
      </c>
      <c r="F165" t="s">
        <v>17</v>
      </c>
      <c r="G165" t="s">
        <v>75</v>
      </c>
      <c r="H165" t="s">
        <v>116</v>
      </c>
      <c r="I165">
        <v>1</v>
      </c>
      <c r="J165">
        <v>1585.25</v>
      </c>
      <c r="K165">
        <v>326.47000000000003</v>
      </c>
      <c r="L165">
        <v>15</v>
      </c>
      <c r="M165" t="s">
        <v>40</v>
      </c>
      <c r="N165" t="str">
        <f>TEXT(Table1[[#This Row],[Order Date]],"MMMM")</f>
        <v>October</v>
      </c>
      <c r="O165">
        <f>YEAR(Table1[[#This Row],[Order Date]])</f>
        <v>2025</v>
      </c>
      <c r="P165" t="str">
        <f>"Q"&amp;ROUNDUP(MONTH(Table1[[#This Row],[Order Date]])/3,0)</f>
        <v>Q4</v>
      </c>
      <c r="Q165" s="3">
        <f>Table1[[#This Row],[Profit]]/Table1[[#This Row],[Sales]]</f>
        <v>0.20594228039741366</v>
      </c>
      <c r="R165" t="str">
        <f>IF(Table1[[#This Row],[Sales]]&lt;1000,"LOW",IF(Table1[[#This Row],[Sales]]&lt;5000,"MEDIUM","HIGH"))</f>
        <v>MEDIUM</v>
      </c>
      <c r="S165" s="2">
        <f>Table1[[#This Row],[Discount]]/100</f>
        <v>0.15</v>
      </c>
    </row>
    <row r="166" spans="1:19" x14ac:dyDescent="0.3">
      <c r="A166">
        <v>10165</v>
      </c>
      <c r="B166" s="1" t="s">
        <v>299</v>
      </c>
      <c r="C166" t="s">
        <v>300</v>
      </c>
      <c r="D166" t="s">
        <v>66</v>
      </c>
      <c r="E166" t="s">
        <v>16</v>
      </c>
      <c r="F166" t="s">
        <v>17</v>
      </c>
      <c r="G166" t="s">
        <v>43</v>
      </c>
      <c r="H166" t="s">
        <v>44</v>
      </c>
      <c r="I166">
        <v>7</v>
      </c>
      <c r="J166">
        <v>26560.799999999999</v>
      </c>
      <c r="K166">
        <v>6602.79</v>
      </c>
      <c r="L166">
        <v>15</v>
      </c>
      <c r="M166" t="s">
        <v>28</v>
      </c>
      <c r="N166" t="str">
        <f>TEXT(Table1[[#This Row],[Order Date]],"MMMM")</f>
        <v>February</v>
      </c>
      <c r="O166">
        <f>YEAR(Table1[[#This Row],[Order Date]])</f>
        <v>2025</v>
      </c>
      <c r="P166" t="str">
        <f>"Q"&amp;ROUNDUP(MONTH(Table1[[#This Row],[Order Date]])/3,0)</f>
        <v>Q1</v>
      </c>
      <c r="Q166" s="3">
        <f>Table1[[#This Row],[Profit]]/Table1[[#This Row],[Sales]]</f>
        <v>0.24859153338754858</v>
      </c>
      <c r="R166" t="str">
        <f>IF(Table1[[#This Row],[Sales]]&lt;1000,"LOW",IF(Table1[[#This Row],[Sales]]&lt;5000,"MEDIUM","HIGH"))</f>
        <v>HIGH</v>
      </c>
      <c r="S166" s="2">
        <f>Table1[[#This Row],[Discount]]/100</f>
        <v>0.15</v>
      </c>
    </row>
    <row r="167" spans="1:19" x14ac:dyDescent="0.3">
      <c r="A167">
        <v>10166</v>
      </c>
      <c r="B167" s="1" t="s">
        <v>179</v>
      </c>
      <c r="C167" t="s">
        <v>301</v>
      </c>
      <c r="D167" t="s">
        <v>60</v>
      </c>
      <c r="E167" t="s">
        <v>61</v>
      </c>
      <c r="F167" t="s">
        <v>31</v>
      </c>
      <c r="G167" t="s">
        <v>89</v>
      </c>
      <c r="H167" t="s">
        <v>90</v>
      </c>
      <c r="I167">
        <v>6</v>
      </c>
      <c r="J167">
        <v>4406.3999999999996</v>
      </c>
      <c r="K167">
        <v>543.48</v>
      </c>
      <c r="L167">
        <v>10</v>
      </c>
      <c r="M167" t="s">
        <v>20</v>
      </c>
      <c r="N167" t="str">
        <f>TEXT(Table1[[#This Row],[Order Date]],"MMMM")</f>
        <v>November</v>
      </c>
      <c r="O167">
        <f>YEAR(Table1[[#This Row],[Order Date]])</f>
        <v>2025</v>
      </c>
      <c r="P167" t="str">
        <f>"Q"&amp;ROUNDUP(MONTH(Table1[[#This Row],[Order Date]])/3,0)</f>
        <v>Q4</v>
      </c>
      <c r="Q167" s="3">
        <f>Table1[[#This Row],[Profit]]/Table1[[#This Row],[Sales]]</f>
        <v>0.12333877995642703</v>
      </c>
      <c r="R167" t="str">
        <f>IF(Table1[[#This Row],[Sales]]&lt;1000,"LOW",IF(Table1[[#This Row],[Sales]]&lt;5000,"MEDIUM","HIGH"))</f>
        <v>MEDIUM</v>
      </c>
      <c r="S167" s="2">
        <f>Table1[[#This Row],[Discount]]/100</f>
        <v>0.1</v>
      </c>
    </row>
    <row r="168" spans="1:19" x14ac:dyDescent="0.3">
      <c r="A168">
        <v>10167</v>
      </c>
      <c r="B168" s="1" t="s">
        <v>132</v>
      </c>
      <c r="C168" t="s">
        <v>302</v>
      </c>
      <c r="D168" t="s">
        <v>23</v>
      </c>
      <c r="E168" t="s">
        <v>24</v>
      </c>
      <c r="F168" t="s">
        <v>31</v>
      </c>
      <c r="G168" t="s">
        <v>38</v>
      </c>
      <c r="H168" t="s">
        <v>39</v>
      </c>
      <c r="I168">
        <v>5</v>
      </c>
      <c r="J168">
        <v>12114</v>
      </c>
      <c r="K168">
        <v>2610.36</v>
      </c>
      <c r="L168">
        <v>10</v>
      </c>
      <c r="M168" t="s">
        <v>40</v>
      </c>
      <c r="N168" t="str">
        <f>TEXT(Table1[[#This Row],[Order Date]],"MMMM")</f>
        <v>October</v>
      </c>
      <c r="O168">
        <f>YEAR(Table1[[#This Row],[Order Date]])</f>
        <v>2025</v>
      </c>
      <c r="P168" t="str">
        <f>"Q"&amp;ROUNDUP(MONTH(Table1[[#This Row],[Order Date]])/3,0)</f>
        <v>Q4</v>
      </c>
      <c r="Q168" s="3">
        <f>Table1[[#This Row],[Profit]]/Table1[[#This Row],[Sales]]</f>
        <v>0.21548291233283806</v>
      </c>
      <c r="R168" t="str">
        <f>IF(Table1[[#This Row],[Sales]]&lt;1000,"LOW",IF(Table1[[#This Row],[Sales]]&lt;5000,"MEDIUM","HIGH"))</f>
        <v>HIGH</v>
      </c>
      <c r="S168" s="2">
        <f>Table1[[#This Row],[Discount]]/100</f>
        <v>0.1</v>
      </c>
    </row>
    <row r="169" spans="1:19" x14ac:dyDescent="0.3">
      <c r="A169">
        <v>10168</v>
      </c>
      <c r="B169" s="1" t="s">
        <v>239</v>
      </c>
      <c r="C169" t="s">
        <v>219</v>
      </c>
      <c r="D169" t="s">
        <v>74</v>
      </c>
      <c r="E169" t="s">
        <v>74</v>
      </c>
      <c r="F169" t="s">
        <v>31</v>
      </c>
      <c r="G169" t="s">
        <v>38</v>
      </c>
      <c r="H169" t="s">
        <v>39</v>
      </c>
      <c r="I169">
        <v>1</v>
      </c>
      <c r="J169">
        <v>3163.5</v>
      </c>
      <c r="K169">
        <v>432.98</v>
      </c>
      <c r="L169">
        <v>10</v>
      </c>
      <c r="M169" t="s">
        <v>20</v>
      </c>
      <c r="N169" t="str">
        <f>TEXT(Table1[[#This Row],[Order Date]],"MMMM")</f>
        <v>January</v>
      </c>
      <c r="O169">
        <f>YEAR(Table1[[#This Row],[Order Date]])</f>
        <v>2025</v>
      </c>
      <c r="P169" t="str">
        <f>"Q"&amp;ROUNDUP(MONTH(Table1[[#This Row],[Order Date]])/3,0)</f>
        <v>Q1</v>
      </c>
      <c r="Q169" s="3">
        <f>Table1[[#This Row],[Profit]]/Table1[[#This Row],[Sales]]</f>
        <v>0.13686739370949899</v>
      </c>
      <c r="R169" t="str">
        <f>IF(Table1[[#This Row],[Sales]]&lt;1000,"LOW",IF(Table1[[#This Row],[Sales]]&lt;5000,"MEDIUM","HIGH"))</f>
        <v>MEDIUM</v>
      </c>
      <c r="S169" s="2">
        <f>Table1[[#This Row],[Discount]]/100</f>
        <v>0.1</v>
      </c>
    </row>
    <row r="170" spans="1:19" x14ac:dyDescent="0.3">
      <c r="A170">
        <v>10169</v>
      </c>
      <c r="B170" s="1" t="s">
        <v>303</v>
      </c>
      <c r="C170" t="s">
        <v>14</v>
      </c>
      <c r="D170" t="s">
        <v>60</v>
      </c>
      <c r="E170" t="s">
        <v>61</v>
      </c>
      <c r="F170" t="s">
        <v>25</v>
      </c>
      <c r="G170" t="s">
        <v>26</v>
      </c>
      <c r="H170" t="s">
        <v>71</v>
      </c>
      <c r="I170">
        <v>3</v>
      </c>
      <c r="J170">
        <v>3281.85</v>
      </c>
      <c r="K170">
        <v>565.54999999999995</v>
      </c>
      <c r="L170">
        <v>15</v>
      </c>
      <c r="M170" t="s">
        <v>20</v>
      </c>
      <c r="N170" t="str">
        <f>TEXT(Table1[[#This Row],[Order Date]],"MMMM")</f>
        <v>January</v>
      </c>
      <c r="O170">
        <f>YEAR(Table1[[#This Row],[Order Date]])</f>
        <v>2025</v>
      </c>
      <c r="P170" t="str">
        <f>"Q"&amp;ROUNDUP(MONTH(Table1[[#This Row],[Order Date]])/3,0)</f>
        <v>Q1</v>
      </c>
      <c r="Q170" s="3">
        <f>Table1[[#This Row],[Profit]]/Table1[[#This Row],[Sales]]</f>
        <v>0.17232658409128995</v>
      </c>
      <c r="R170" t="str">
        <f>IF(Table1[[#This Row],[Sales]]&lt;1000,"LOW",IF(Table1[[#This Row],[Sales]]&lt;5000,"MEDIUM","HIGH"))</f>
        <v>MEDIUM</v>
      </c>
      <c r="S170" s="2">
        <f>Table1[[#This Row],[Discount]]/100</f>
        <v>0.15</v>
      </c>
    </row>
    <row r="171" spans="1:19" x14ac:dyDescent="0.3">
      <c r="A171">
        <v>10170</v>
      </c>
      <c r="B171" s="1" t="s">
        <v>257</v>
      </c>
      <c r="C171" t="s">
        <v>304</v>
      </c>
      <c r="D171" t="s">
        <v>15</v>
      </c>
      <c r="E171" t="s">
        <v>16</v>
      </c>
      <c r="F171" t="s">
        <v>31</v>
      </c>
      <c r="G171" t="s">
        <v>38</v>
      </c>
      <c r="H171" t="s">
        <v>39</v>
      </c>
      <c r="I171">
        <v>1</v>
      </c>
      <c r="J171">
        <v>1283</v>
      </c>
      <c r="K171">
        <v>149.63</v>
      </c>
      <c r="L171">
        <v>0</v>
      </c>
      <c r="M171" t="s">
        <v>20</v>
      </c>
      <c r="N171" t="str">
        <f>TEXT(Table1[[#This Row],[Order Date]],"MMMM")</f>
        <v>June</v>
      </c>
      <c r="O171">
        <f>YEAR(Table1[[#This Row],[Order Date]])</f>
        <v>2025</v>
      </c>
      <c r="P171" t="str">
        <f>"Q"&amp;ROUNDUP(MONTH(Table1[[#This Row],[Order Date]])/3,0)</f>
        <v>Q2</v>
      </c>
      <c r="Q171" s="3">
        <f>Table1[[#This Row],[Profit]]/Table1[[#This Row],[Sales]]</f>
        <v>0.11662509742790335</v>
      </c>
      <c r="R171" t="str">
        <f>IF(Table1[[#This Row],[Sales]]&lt;1000,"LOW",IF(Table1[[#This Row],[Sales]]&lt;5000,"MEDIUM","HIGH"))</f>
        <v>MEDIUM</v>
      </c>
      <c r="S171" s="2">
        <f>Table1[[#This Row],[Discount]]/100</f>
        <v>0</v>
      </c>
    </row>
    <row r="172" spans="1:19" x14ac:dyDescent="0.3">
      <c r="A172">
        <v>10171</v>
      </c>
      <c r="B172" s="1" t="s">
        <v>257</v>
      </c>
      <c r="C172" t="s">
        <v>78</v>
      </c>
      <c r="D172" t="s">
        <v>60</v>
      </c>
      <c r="E172" t="s">
        <v>61</v>
      </c>
      <c r="F172" t="s">
        <v>17</v>
      </c>
      <c r="G172" t="s">
        <v>43</v>
      </c>
      <c r="H172" t="s">
        <v>44</v>
      </c>
      <c r="I172">
        <v>6</v>
      </c>
      <c r="J172">
        <v>26724.6</v>
      </c>
      <c r="K172">
        <v>5416.96</v>
      </c>
      <c r="L172">
        <v>10</v>
      </c>
      <c r="M172" t="s">
        <v>20</v>
      </c>
      <c r="N172" t="str">
        <f>TEXT(Table1[[#This Row],[Order Date]],"MMMM")</f>
        <v>June</v>
      </c>
      <c r="O172">
        <f>YEAR(Table1[[#This Row],[Order Date]])</f>
        <v>2025</v>
      </c>
      <c r="P172" t="str">
        <f>"Q"&amp;ROUNDUP(MONTH(Table1[[#This Row],[Order Date]])/3,0)</f>
        <v>Q2</v>
      </c>
      <c r="Q172" s="3">
        <f>Table1[[#This Row],[Profit]]/Table1[[#This Row],[Sales]]</f>
        <v>0.20269564371403129</v>
      </c>
      <c r="R172" t="str">
        <f>IF(Table1[[#This Row],[Sales]]&lt;1000,"LOW",IF(Table1[[#This Row],[Sales]]&lt;5000,"MEDIUM","HIGH"))</f>
        <v>HIGH</v>
      </c>
      <c r="S172" s="2">
        <f>Table1[[#This Row],[Discount]]/100</f>
        <v>0.1</v>
      </c>
    </row>
    <row r="173" spans="1:19" x14ac:dyDescent="0.3">
      <c r="A173">
        <v>10172</v>
      </c>
      <c r="B173" s="1" t="s">
        <v>305</v>
      </c>
      <c r="C173" t="s">
        <v>258</v>
      </c>
      <c r="D173" t="s">
        <v>74</v>
      </c>
      <c r="E173" t="s">
        <v>74</v>
      </c>
      <c r="F173" t="s">
        <v>17</v>
      </c>
      <c r="G173" t="s">
        <v>75</v>
      </c>
      <c r="H173" t="s">
        <v>116</v>
      </c>
      <c r="I173">
        <v>5</v>
      </c>
      <c r="J173">
        <v>4952</v>
      </c>
      <c r="K173">
        <v>1079.03</v>
      </c>
      <c r="L173">
        <v>20</v>
      </c>
      <c r="M173" t="s">
        <v>20</v>
      </c>
      <c r="N173" t="str">
        <f>TEXT(Table1[[#This Row],[Order Date]],"MMMM")</f>
        <v>July</v>
      </c>
      <c r="O173">
        <f>YEAR(Table1[[#This Row],[Order Date]])</f>
        <v>2025</v>
      </c>
      <c r="P173" t="str">
        <f>"Q"&amp;ROUNDUP(MONTH(Table1[[#This Row],[Order Date]])/3,0)</f>
        <v>Q3</v>
      </c>
      <c r="Q173" s="3">
        <f>Table1[[#This Row],[Profit]]/Table1[[#This Row],[Sales]]</f>
        <v>0.21789781906300484</v>
      </c>
      <c r="R173" t="str">
        <f>IF(Table1[[#This Row],[Sales]]&lt;1000,"LOW",IF(Table1[[#This Row],[Sales]]&lt;5000,"MEDIUM","HIGH"))</f>
        <v>MEDIUM</v>
      </c>
      <c r="S173" s="2">
        <f>Table1[[#This Row],[Discount]]/100</f>
        <v>0.2</v>
      </c>
    </row>
    <row r="174" spans="1:19" x14ac:dyDescent="0.3">
      <c r="A174">
        <v>10173</v>
      </c>
      <c r="B174" s="1" t="s">
        <v>306</v>
      </c>
      <c r="C174" t="s">
        <v>201</v>
      </c>
      <c r="D174" t="s">
        <v>36</v>
      </c>
      <c r="E174" t="s">
        <v>37</v>
      </c>
      <c r="F174" t="s">
        <v>17</v>
      </c>
      <c r="G174" t="s">
        <v>18</v>
      </c>
      <c r="H174" t="s">
        <v>19</v>
      </c>
      <c r="I174">
        <v>5</v>
      </c>
      <c r="J174">
        <v>12825</v>
      </c>
      <c r="K174">
        <v>3567.88</v>
      </c>
      <c r="L174">
        <v>0</v>
      </c>
      <c r="M174" t="s">
        <v>49</v>
      </c>
      <c r="N174" t="str">
        <f>TEXT(Table1[[#This Row],[Order Date]],"MMMM")</f>
        <v>July</v>
      </c>
      <c r="O174">
        <f>YEAR(Table1[[#This Row],[Order Date]])</f>
        <v>2025</v>
      </c>
      <c r="P174" t="str">
        <f>"Q"&amp;ROUNDUP(MONTH(Table1[[#This Row],[Order Date]])/3,0)</f>
        <v>Q3</v>
      </c>
      <c r="Q174" s="3">
        <f>Table1[[#This Row],[Profit]]/Table1[[#This Row],[Sales]]</f>
        <v>0.27819727095516572</v>
      </c>
      <c r="R174" t="str">
        <f>IF(Table1[[#This Row],[Sales]]&lt;1000,"LOW",IF(Table1[[#This Row],[Sales]]&lt;5000,"MEDIUM","HIGH"))</f>
        <v>HIGH</v>
      </c>
      <c r="S174" s="2">
        <f>Table1[[#This Row],[Discount]]/100</f>
        <v>0</v>
      </c>
    </row>
    <row r="175" spans="1:19" x14ac:dyDescent="0.3">
      <c r="A175">
        <v>10174</v>
      </c>
      <c r="B175" s="1" t="s">
        <v>307</v>
      </c>
      <c r="C175" t="s">
        <v>297</v>
      </c>
      <c r="D175" t="s">
        <v>74</v>
      </c>
      <c r="E175" t="s">
        <v>74</v>
      </c>
      <c r="F175" t="s">
        <v>31</v>
      </c>
      <c r="G175" t="s">
        <v>89</v>
      </c>
      <c r="H175" t="s">
        <v>90</v>
      </c>
      <c r="I175">
        <v>1</v>
      </c>
      <c r="J175">
        <v>2681.6</v>
      </c>
      <c r="K175">
        <v>300.35000000000002</v>
      </c>
      <c r="L175">
        <v>20</v>
      </c>
      <c r="M175" t="s">
        <v>20</v>
      </c>
      <c r="N175" t="str">
        <f>TEXT(Table1[[#This Row],[Order Date]],"MMMM")</f>
        <v>June</v>
      </c>
      <c r="O175">
        <f>YEAR(Table1[[#This Row],[Order Date]])</f>
        <v>2025</v>
      </c>
      <c r="P175" t="str">
        <f>"Q"&amp;ROUNDUP(MONTH(Table1[[#This Row],[Order Date]])/3,0)</f>
        <v>Q2</v>
      </c>
      <c r="Q175" s="3">
        <f>Table1[[#This Row],[Profit]]/Table1[[#This Row],[Sales]]</f>
        <v>0.11200402744630072</v>
      </c>
      <c r="R175" t="str">
        <f>IF(Table1[[#This Row],[Sales]]&lt;1000,"LOW",IF(Table1[[#This Row],[Sales]]&lt;5000,"MEDIUM","HIGH"))</f>
        <v>MEDIUM</v>
      </c>
      <c r="S175" s="2">
        <f>Table1[[#This Row],[Discount]]/100</f>
        <v>0.2</v>
      </c>
    </row>
    <row r="176" spans="1:19" x14ac:dyDescent="0.3">
      <c r="A176">
        <v>10175</v>
      </c>
      <c r="B176" s="1" t="s">
        <v>247</v>
      </c>
      <c r="C176" t="s">
        <v>308</v>
      </c>
      <c r="D176" t="s">
        <v>74</v>
      </c>
      <c r="E176" t="s">
        <v>74</v>
      </c>
      <c r="F176" t="s">
        <v>25</v>
      </c>
      <c r="G176" t="s">
        <v>95</v>
      </c>
      <c r="H176" t="s">
        <v>96</v>
      </c>
      <c r="I176">
        <v>6</v>
      </c>
      <c r="J176">
        <v>28998</v>
      </c>
      <c r="K176">
        <v>6137.1</v>
      </c>
      <c r="L176">
        <v>0</v>
      </c>
      <c r="M176" t="s">
        <v>49</v>
      </c>
      <c r="N176" t="str">
        <f>TEXT(Table1[[#This Row],[Order Date]],"MMMM")</f>
        <v>May</v>
      </c>
      <c r="O176">
        <f>YEAR(Table1[[#This Row],[Order Date]])</f>
        <v>2025</v>
      </c>
      <c r="P176" t="str">
        <f>"Q"&amp;ROUNDUP(MONTH(Table1[[#This Row],[Order Date]])/3,0)</f>
        <v>Q2</v>
      </c>
      <c r="Q176" s="3">
        <f>Table1[[#This Row],[Profit]]/Table1[[#This Row],[Sales]]</f>
        <v>0.21163873370577282</v>
      </c>
      <c r="R176" t="str">
        <f>IF(Table1[[#This Row],[Sales]]&lt;1000,"LOW",IF(Table1[[#This Row],[Sales]]&lt;5000,"MEDIUM","HIGH"))</f>
        <v>HIGH</v>
      </c>
      <c r="S176" s="2">
        <f>Table1[[#This Row],[Discount]]/100</f>
        <v>0</v>
      </c>
    </row>
    <row r="177" spans="1:19" x14ac:dyDescent="0.3">
      <c r="A177">
        <v>10176</v>
      </c>
      <c r="B177" s="1" t="s">
        <v>309</v>
      </c>
      <c r="C177" t="s">
        <v>141</v>
      </c>
      <c r="D177" t="s">
        <v>36</v>
      </c>
      <c r="E177" t="s">
        <v>37</v>
      </c>
      <c r="F177" t="s">
        <v>25</v>
      </c>
      <c r="G177" t="s">
        <v>26</v>
      </c>
      <c r="H177" t="s">
        <v>48</v>
      </c>
      <c r="I177">
        <v>8</v>
      </c>
      <c r="J177">
        <v>37566.800000000003</v>
      </c>
      <c r="K177">
        <v>3286.09</v>
      </c>
      <c r="L177">
        <v>5</v>
      </c>
      <c r="M177" t="s">
        <v>40</v>
      </c>
      <c r="N177" t="str">
        <f>TEXT(Table1[[#This Row],[Order Date]],"MMMM")</f>
        <v>July</v>
      </c>
      <c r="O177">
        <f>YEAR(Table1[[#This Row],[Order Date]])</f>
        <v>2025</v>
      </c>
      <c r="P177" t="str">
        <f>"Q"&amp;ROUNDUP(MONTH(Table1[[#This Row],[Order Date]])/3,0)</f>
        <v>Q3</v>
      </c>
      <c r="Q177" s="3">
        <f>Table1[[#This Row],[Profit]]/Table1[[#This Row],[Sales]]</f>
        <v>8.7473247654844169E-2</v>
      </c>
      <c r="R177" t="str">
        <f>IF(Table1[[#This Row],[Sales]]&lt;1000,"LOW",IF(Table1[[#This Row],[Sales]]&lt;5000,"MEDIUM","HIGH"))</f>
        <v>HIGH</v>
      </c>
      <c r="S177" s="2">
        <f>Table1[[#This Row],[Discount]]/100</f>
        <v>0.05</v>
      </c>
    </row>
    <row r="178" spans="1:19" x14ac:dyDescent="0.3">
      <c r="A178">
        <v>10177</v>
      </c>
      <c r="B178" s="1" t="s">
        <v>155</v>
      </c>
      <c r="C178" t="s">
        <v>103</v>
      </c>
      <c r="D178" t="s">
        <v>60</v>
      </c>
      <c r="E178" t="s">
        <v>61</v>
      </c>
      <c r="F178" t="s">
        <v>17</v>
      </c>
      <c r="G178" t="s">
        <v>75</v>
      </c>
      <c r="H178" t="s">
        <v>116</v>
      </c>
      <c r="I178">
        <v>5</v>
      </c>
      <c r="J178">
        <v>19745.5</v>
      </c>
      <c r="K178">
        <v>3523.97</v>
      </c>
      <c r="L178">
        <v>15</v>
      </c>
      <c r="M178" t="s">
        <v>20</v>
      </c>
      <c r="N178" t="str">
        <f>TEXT(Table1[[#This Row],[Order Date]],"MMMM")</f>
        <v>May</v>
      </c>
      <c r="O178">
        <f>YEAR(Table1[[#This Row],[Order Date]])</f>
        <v>2025</v>
      </c>
      <c r="P178" t="str">
        <f>"Q"&amp;ROUNDUP(MONTH(Table1[[#This Row],[Order Date]])/3,0)</f>
        <v>Q2</v>
      </c>
      <c r="Q178" s="3">
        <f>Table1[[#This Row],[Profit]]/Table1[[#This Row],[Sales]]</f>
        <v>0.17846952470183078</v>
      </c>
      <c r="R178" t="str">
        <f>IF(Table1[[#This Row],[Sales]]&lt;1000,"LOW",IF(Table1[[#This Row],[Sales]]&lt;5000,"MEDIUM","HIGH"))</f>
        <v>HIGH</v>
      </c>
      <c r="S178" s="2">
        <f>Table1[[#This Row],[Discount]]/100</f>
        <v>0.15</v>
      </c>
    </row>
    <row r="179" spans="1:19" x14ac:dyDescent="0.3">
      <c r="A179">
        <v>10178</v>
      </c>
      <c r="B179" s="1" t="s">
        <v>310</v>
      </c>
      <c r="C179" t="s">
        <v>311</v>
      </c>
      <c r="D179" t="s">
        <v>52</v>
      </c>
      <c r="E179" t="s">
        <v>53</v>
      </c>
      <c r="F179" t="s">
        <v>31</v>
      </c>
      <c r="G179" t="s">
        <v>32</v>
      </c>
      <c r="H179" t="s">
        <v>33</v>
      </c>
      <c r="I179">
        <v>1</v>
      </c>
      <c r="J179">
        <v>554.4</v>
      </c>
      <c r="K179">
        <v>133.13</v>
      </c>
      <c r="L179">
        <v>20</v>
      </c>
      <c r="M179" t="s">
        <v>40</v>
      </c>
      <c r="N179" t="str">
        <f>TEXT(Table1[[#This Row],[Order Date]],"MMMM")</f>
        <v>April</v>
      </c>
      <c r="O179">
        <f>YEAR(Table1[[#This Row],[Order Date]])</f>
        <v>2025</v>
      </c>
      <c r="P179" t="str">
        <f>"Q"&amp;ROUNDUP(MONTH(Table1[[#This Row],[Order Date]])/3,0)</f>
        <v>Q2</v>
      </c>
      <c r="Q179" s="3">
        <f>Table1[[#This Row],[Profit]]/Table1[[#This Row],[Sales]]</f>
        <v>0.24013347763347764</v>
      </c>
      <c r="R179" t="str">
        <f>IF(Table1[[#This Row],[Sales]]&lt;1000,"LOW",IF(Table1[[#This Row],[Sales]]&lt;5000,"MEDIUM","HIGH"))</f>
        <v>LOW</v>
      </c>
      <c r="S179" s="2">
        <f>Table1[[#This Row],[Discount]]/100</f>
        <v>0.2</v>
      </c>
    </row>
    <row r="180" spans="1:19" x14ac:dyDescent="0.3">
      <c r="A180">
        <v>10179</v>
      </c>
      <c r="B180" s="1" t="s">
        <v>171</v>
      </c>
      <c r="C180" t="s">
        <v>82</v>
      </c>
      <c r="D180" t="s">
        <v>52</v>
      </c>
      <c r="E180" t="s">
        <v>53</v>
      </c>
      <c r="F180" t="s">
        <v>17</v>
      </c>
      <c r="G180" t="s">
        <v>43</v>
      </c>
      <c r="H180" t="s">
        <v>44</v>
      </c>
      <c r="I180">
        <v>7</v>
      </c>
      <c r="J180">
        <v>7956.9</v>
      </c>
      <c r="K180">
        <v>1591.85</v>
      </c>
      <c r="L180">
        <v>10</v>
      </c>
      <c r="M180" t="s">
        <v>40</v>
      </c>
      <c r="N180" t="str">
        <f>TEXT(Table1[[#This Row],[Order Date]],"MMMM")</f>
        <v>August</v>
      </c>
      <c r="O180">
        <f>YEAR(Table1[[#This Row],[Order Date]])</f>
        <v>2025</v>
      </c>
      <c r="P180" t="str">
        <f>"Q"&amp;ROUNDUP(MONTH(Table1[[#This Row],[Order Date]])/3,0)</f>
        <v>Q3</v>
      </c>
      <c r="Q180" s="3">
        <f>Table1[[#This Row],[Profit]]/Table1[[#This Row],[Sales]]</f>
        <v>0.20005906823008959</v>
      </c>
      <c r="R180" t="str">
        <f>IF(Table1[[#This Row],[Sales]]&lt;1000,"LOW",IF(Table1[[#This Row],[Sales]]&lt;5000,"MEDIUM","HIGH"))</f>
        <v>HIGH</v>
      </c>
      <c r="S180" s="2">
        <f>Table1[[#This Row],[Discount]]/100</f>
        <v>0.1</v>
      </c>
    </row>
    <row r="181" spans="1:19" x14ac:dyDescent="0.3">
      <c r="A181">
        <v>10180</v>
      </c>
      <c r="B181" s="1" t="s">
        <v>312</v>
      </c>
      <c r="C181" t="s">
        <v>255</v>
      </c>
      <c r="D181" t="s">
        <v>56</v>
      </c>
      <c r="E181" t="s">
        <v>57</v>
      </c>
      <c r="F181" t="s">
        <v>17</v>
      </c>
      <c r="G181" t="s">
        <v>75</v>
      </c>
      <c r="H181" t="s">
        <v>76</v>
      </c>
      <c r="I181">
        <v>3</v>
      </c>
      <c r="J181">
        <v>927</v>
      </c>
      <c r="K181">
        <v>213.37</v>
      </c>
      <c r="L181">
        <v>0</v>
      </c>
      <c r="M181" t="s">
        <v>28</v>
      </c>
      <c r="N181" t="str">
        <f>TEXT(Table1[[#This Row],[Order Date]],"MMMM")</f>
        <v>August</v>
      </c>
      <c r="O181">
        <f>YEAR(Table1[[#This Row],[Order Date]])</f>
        <v>2025</v>
      </c>
      <c r="P181" t="str">
        <f>"Q"&amp;ROUNDUP(MONTH(Table1[[#This Row],[Order Date]])/3,0)</f>
        <v>Q3</v>
      </c>
      <c r="Q181" s="3">
        <f>Table1[[#This Row],[Profit]]/Table1[[#This Row],[Sales]]</f>
        <v>0.23017259978425028</v>
      </c>
      <c r="R181" t="str">
        <f>IF(Table1[[#This Row],[Sales]]&lt;1000,"LOW",IF(Table1[[#This Row],[Sales]]&lt;5000,"MEDIUM","HIGH"))</f>
        <v>LOW</v>
      </c>
      <c r="S181" s="2">
        <f>Table1[[#This Row],[Discount]]/100</f>
        <v>0</v>
      </c>
    </row>
    <row r="182" spans="1:19" x14ac:dyDescent="0.3">
      <c r="A182">
        <v>10181</v>
      </c>
      <c r="B182" s="1" t="s">
        <v>313</v>
      </c>
      <c r="C182" t="s">
        <v>127</v>
      </c>
      <c r="D182" t="s">
        <v>60</v>
      </c>
      <c r="E182" t="s">
        <v>61</v>
      </c>
      <c r="F182" t="s">
        <v>31</v>
      </c>
      <c r="G182" t="s">
        <v>38</v>
      </c>
      <c r="H182" t="s">
        <v>39</v>
      </c>
      <c r="I182">
        <v>8</v>
      </c>
      <c r="J182">
        <v>18079.2</v>
      </c>
      <c r="K182">
        <v>4275.1099999999997</v>
      </c>
      <c r="L182">
        <v>10</v>
      </c>
      <c r="M182" t="s">
        <v>20</v>
      </c>
      <c r="N182" t="str">
        <f>TEXT(Table1[[#This Row],[Order Date]],"MMMM")</f>
        <v>November</v>
      </c>
      <c r="O182">
        <f>YEAR(Table1[[#This Row],[Order Date]])</f>
        <v>2025</v>
      </c>
      <c r="P182" t="str">
        <f>"Q"&amp;ROUNDUP(MONTH(Table1[[#This Row],[Order Date]])/3,0)</f>
        <v>Q4</v>
      </c>
      <c r="Q182" s="3">
        <f>Table1[[#This Row],[Profit]]/Table1[[#This Row],[Sales]]</f>
        <v>0.23646566219744233</v>
      </c>
      <c r="R182" t="str">
        <f>IF(Table1[[#This Row],[Sales]]&lt;1000,"LOW",IF(Table1[[#This Row],[Sales]]&lt;5000,"MEDIUM","HIGH"))</f>
        <v>HIGH</v>
      </c>
      <c r="S182" s="2">
        <f>Table1[[#This Row],[Discount]]/100</f>
        <v>0.1</v>
      </c>
    </row>
    <row r="183" spans="1:19" x14ac:dyDescent="0.3">
      <c r="A183">
        <v>10182</v>
      </c>
      <c r="B183" s="1" t="s">
        <v>314</v>
      </c>
      <c r="C183" t="s">
        <v>315</v>
      </c>
      <c r="D183" t="s">
        <v>56</v>
      </c>
      <c r="E183" t="s">
        <v>57</v>
      </c>
      <c r="F183" t="s">
        <v>17</v>
      </c>
      <c r="G183" t="s">
        <v>75</v>
      </c>
      <c r="H183" t="s">
        <v>76</v>
      </c>
      <c r="I183">
        <v>2</v>
      </c>
      <c r="J183">
        <v>899.3</v>
      </c>
      <c r="K183">
        <v>107.34</v>
      </c>
      <c r="L183">
        <v>15</v>
      </c>
      <c r="M183" t="s">
        <v>45</v>
      </c>
      <c r="N183" t="str">
        <f>TEXT(Table1[[#This Row],[Order Date]],"MMMM")</f>
        <v>June</v>
      </c>
      <c r="O183">
        <f>YEAR(Table1[[#This Row],[Order Date]])</f>
        <v>2025</v>
      </c>
      <c r="P183" t="str">
        <f>"Q"&amp;ROUNDUP(MONTH(Table1[[#This Row],[Order Date]])/3,0)</f>
        <v>Q2</v>
      </c>
      <c r="Q183" s="3">
        <f>Table1[[#This Row],[Profit]]/Table1[[#This Row],[Sales]]</f>
        <v>0.11935950183476038</v>
      </c>
      <c r="R183" t="str">
        <f>IF(Table1[[#This Row],[Sales]]&lt;1000,"LOW",IF(Table1[[#This Row],[Sales]]&lt;5000,"MEDIUM","HIGH"))</f>
        <v>LOW</v>
      </c>
      <c r="S183" s="2">
        <f>Table1[[#This Row],[Discount]]/100</f>
        <v>0.15</v>
      </c>
    </row>
    <row r="184" spans="1:19" x14ac:dyDescent="0.3">
      <c r="A184">
        <v>10183</v>
      </c>
      <c r="B184" s="1" t="s">
        <v>316</v>
      </c>
      <c r="C184" t="s">
        <v>317</v>
      </c>
      <c r="D184" t="s">
        <v>74</v>
      </c>
      <c r="E184" t="s">
        <v>74</v>
      </c>
      <c r="F184" t="s">
        <v>25</v>
      </c>
      <c r="G184" t="s">
        <v>26</v>
      </c>
      <c r="H184" t="s">
        <v>48</v>
      </c>
      <c r="I184">
        <v>4</v>
      </c>
      <c r="J184">
        <v>12382.8</v>
      </c>
      <c r="K184">
        <v>3638.84</v>
      </c>
      <c r="L184">
        <v>15</v>
      </c>
      <c r="M184" t="s">
        <v>28</v>
      </c>
      <c r="N184" t="str">
        <f>TEXT(Table1[[#This Row],[Order Date]],"MMMM")</f>
        <v>December</v>
      </c>
      <c r="O184">
        <f>YEAR(Table1[[#This Row],[Order Date]])</f>
        <v>2025</v>
      </c>
      <c r="P184" t="str">
        <f>"Q"&amp;ROUNDUP(MONTH(Table1[[#This Row],[Order Date]])/3,0)</f>
        <v>Q4</v>
      </c>
      <c r="Q184" s="3">
        <f>Table1[[#This Row],[Profit]]/Table1[[#This Row],[Sales]]</f>
        <v>0.29386245437219372</v>
      </c>
      <c r="R184" t="str">
        <f>IF(Table1[[#This Row],[Sales]]&lt;1000,"LOW",IF(Table1[[#This Row],[Sales]]&lt;5000,"MEDIUM","HIGH"))</f>
        <v>HIGH</v>
      </c>
      <c r="S184" s="2">
        <f>Table1[[#This Row],[Discount]]/100</f>
        <v>0.15</v>
      </c>
    </row>
    <row r="185" spans="1:19" x14ac:dyDescent="0.3">
      <c r="A185">
        <v>10184</v>
      </c>
      <c r="B185" s="1" t="s">
        <v>318</v>
      </c>
      <c r="C185" t="s">
        <v>216</v>
      </c>
      <c r="D185" t="s">
        <v>74</v>
      </c>
      <c r="E185" t="s">
        <v>74</v>
      </c>
      <c r="F185" t="s">
        <v>31</v>
      </c>
      <c r="G185" t="s">
        <v>32</v>
      </c>
      <c r="H185" t="s">
        <v>33</v>
      </c>
      <c r="I185">
        <v>2</v>
      </c>
      <c r="J185">
        <v>8150.4</v>
      </c>
      <c r="K185">
        <v>2371.5700000000002</v>
      </c>
      <c r="L185">
        <v>10</v>
      </c>
      <c r="M185" t="s">
        <v>28</v>
      </c>
      <c r="N185" t="str">
        <f>TEXT(Table1[[#This Row],[Order Date]],"MMMM")</f>
        <v>January</v>
      </c>
      <c r="O185">
        <f>YEAR(Table1[[#This Row],[Order Date]])</f>
        <v>2025</v>
      </c>
      <c r="P185" t="str">
        <f>"Q"&amp;ROUNDUP(MONTH(Table1[[#This Row],[Order Date]])/3,0)</f>
        <v>Q1</v>
      </c>
      <c r="Q185" s="3">
        <f>Table1[[#This Row],[Profit]]/Table1[[#This Row],[Sales]]</f>
        <v>0.29097590302316456</v>
      </c>
      <c r="R185" t="str">
        <f>IF(Table1[[#This Row],[Sales]]&lt;1000,"LOW",IF(Table1[[#This Row],[Sales]]&lt;5000,"MEDIUM","HIGH"))</f>
        <v>HIGH</v>
      </c>
      <c r="S185" s="2">
        <f>Table1[[#This Row],[Discount]]/100</f>
        <v>0.1</v>
      </c>
    </row>
    <row r="186" spans="1:19" x14ac:dyDescent="0.3">
      <c r="A186">
        <v>10185</v>
      </c>
      <c r="B186" s="1" t="s">
        <v>319</v>
      </c>
      <c r="C186" t="s">
        <v>86</v>
      </c>
      <c r="D186" t="s">
        <v>60</v>
      </c>
      <c r="E186" t="s">
        <v>61</v>
      </c>
      <c r="F186" t="s">
        <v>17</v>
      </c>
      <c r="G186" t="s">
        <v>18</v>
      </c>
      <c r="H186" t="s">
        <v>19</v>
      </c>
      <c r="I186">
        <v>7</v>
      </c>
      <c r="J186">
        <v>20563.2</v>
      </c>
      <c r="K186">
        <v>4239.3100000000004</v>
      </c>
      <c r="L186">
        <v>20</v>
      </c>
      <c r="M186" t="s">
        <v>45</v>
      </c>
      <c r="N186" t="str">
        <f>TEXT(Table1[[#This Row],[Order Date]],"MMMM")</f>
        <v>July</v>
      </c>
      <c r="O186">
        <f>YEAR(Table1[[#This Row],[Order Date]])</f>
        <v>2025</v>
      </c>
      <c r="P186" t="str">
        <f>"Q"&amp;ROUNDUP(MONTH(Table1[[#This Row],[Order Date]])/3,0)</f>
        <v>Q3</v>
      </c>
      <c r="Q186" s="3">
        <f>Table1[[#This Row],[Profit]]/Table1[[#This Row],[Sales]]</f>
        <v>0.20616003345782757</v>
      </c>
      <c r="R186" t="str">
        <f>IF(Table1[[#This Row],[Sales]]&lt;1000,"LOW",IF(Table1[[#This Row],[Sales]]&lt;5000,"MEDIUM","HIGH"))</f>
        <v>HIGH</v>
      </c>
      <c r="S186" s="2">
        <f>Table1[[#This Row],[Discount]]/100</f>
        <v>0.2</v>
      </c>
    </row>
    <row r="187" spans="1:19" x14ac:dyDescent="0.3">
      <c r="A187">
        <v>10186</v>
      </c>
      <c r="B187" s="1" t="s">
        <v>320</v>
      </c>
      <c r="C187" t="s">
        <v>160</v>
      </c>
      <c r="D187" t="s">
        <v>52</v>
      </c>
      <c r="E187" t="s">
        <v>53</v>
      </c>
      <c r="F187" t="s">
        <v>31</v>
      </c>
      <c r="G187" t="s">
        <v>32</v>
      </c>
      <c r="H187" t="s">
        <v>33</v>
      </c>
      <c r="I187">
        <v>1</v>
      </c>
      <c r="J187">
        <v>1318</v>
      </c>
      <c r="K187">
        <v>315.81</v>
      </c>
      <c r="L187">
        <v>0</v>
      </c>
      <c r="M187" t="s">
        <v>45</v>
      </c>
      <c r="N187" t="str">
        <f>TEXT(Table1[[#This Row],[Order Date]],"MMMM")</f>
        <v>October</v>
      </c>
      <c r="O187">
        <f>YEAR(Table1[[#This Row],[Order Date]])</f>
        <v>2025</v>
      </c>
      <c r="P187" t="str">
        <f>"Q"&amp;ROUNDUP(MONTH(Table1[[#This Row],[Order Date]])/3,0)</f>
        <v>Q4</v>
      </c>
      <c r="Q187" s="3">
        <f>Table1[[#This Row],[Profit]]/Table1[[#This Row],[Sales]]</f>
        <v>0.23961305007587252</v>
      </c>
      <c r="R187" t="str">
        <f>IF(Table1[[#This Row],[Sales]]&lt;1000,"LOW",IF(Table1[[#This Row],[Sales]]&lt;5000,"MEDIUM","HIGH"))</f>
        <v>MEDIUM</v>
      </c>
      <c r="S187" s="2">
        <f>Table1[[#This Row],[Discount]]/100</f>
        <v>0</v>
      </c>
    </row>
    <row r="188" spans="1:19" x14ac:dyDescent="0.3">
      <c r="A188">
        <v>10187</v>
      </c>
      <c r="B188" s="1" t="s">
        <v>321</v>
      </c>
      <c r="C188" t="s">
        <v>322</v>
      </c>
      <c r="D188" t="s">
        <v>60</v>
      </c>
      <c r="E188" t="s">
        <v>61</v>
      </c>
      <c r="F188" t="s">
        <v>17</v>
      </c>
      <c r="G188" t="s">
        <v>75</v>
      </c>
      <c r="H188" t="s">
        <v>116</v>
      </c>
      <c r="I188">
        <v>5</v>
      </c>
      <c r="J188">
        <v>19247</v>
      </c>
      <c r="K188">
        <v>3540.77</v>
      </c>
      <c r="L188">
        <v>5</v>
      </c>
      <c r="M188" t="s">
        <v>45</v>
      </c>
      <c r="N188" t="str">
        <f>TEXT(Table1[[#This Row],[Order Date]],"MMMM")</f>
        <v>March</v>
      </c>
      <c r="O188">
        <f>YEAR(Table1[[#This Row],[Order Date]])</f>
        <v>2025</v>
      </c>
      <c r="P188" t="str">
        <f>"Q"&amp;ROUNDUP(MONTH(Table1[[#This Row],[Order Date]])/3,0)</f>
        <v>Q1</v>
      </c>
      <c r="Q188" s="3">
        <f>Table1[[#This Row],[Profit]]/Table1[[#This Row],[Sales]]</f>
        <v>0.18396477373097106</v>
      </c>
      <c r="R188" t="str">
        <f>IF(Table1[[#This Row],[Sales]]&lt;1000,"LOW",IF(Table1[[#This Row],[Sales]]&lt;5000,"MEDIUM","HIGH"))</f>
        <v>HIGH</v>
      </c>
      <c r="S188" s="2">
        <f>Table1[[#This Row],[Discount]]/100</f>
        <v>0.05</v>
      </c>
    </row>
    <row r="189" spans="1:19" x14ac:dyDescent="0.3">
      <c r="A189">
        <v>10188</v>
      </c>
      <c r="B189" s="1" t="s">
        <v>99</v>
      </c>
      <c r="C189" t="s">
        <v>139</v>
      </c>
      <c r="D189" t="s">
        <v>52</v>
      </c>
      <c r="E189" t="s">
        <v>53</v>
      </c>
      <c r="F189" t="s">
        <v>31</v>
      </c>
      <c r="G189" t="s">
        <v>89</v>
      </c>
      <c r="H189" t="s">
        <v>90</v>
      </c>
      <c r="I189">
        <v>1</v>
      </c>
      <c r="J189">
        <v>2620.8000000000002</v>
      </c>
      <c r="K189">
        <v>566.84</v>
      </c>
      <c r="L189">
        <v>10</v>
      </c>
      <c r="M189" t="s">
        <v>28</v>
      </c>
      <c r="N189" t="str">
        <f>TEXT(Table1[[#This Row],[Order Date]],"MMMM")</f>
        <v>August</v>
      </c>
      <c r="O189">
        <f>YEAR(Table1[[#This Row],[Order Date]])</f>
        <v>2025</v>
      </c>
      <c r="P189" t="str">
        <f>"Q"&amp;ROUNDUP(MONTH(Table1[[#This Row],[Order Date]])/3,0)</f>
        <v>Q3</v>
      </c>
      <c r="Q189" s="3">
        <f>Table1[[#This Row],[Profit]]/Table1[[#This Row],[Sales]]</f>
        <v>0.21628510378510379</v>
      </c>
      <c r="R189" t="str">
        <f>IF(Table1[[#This Row],[Sales]]&lt;1000,"LOW",IF(Table1[[#This Row],[Sales]]&lt;5000,"MEDIUM","HIGH"))</f>
        <v>MEDIUM</v>
      </c>
      <c r="S189" s="2">
        <f>Table1[[#This Row],[Discount]]/100</f>
        <v>0.1</v>
      </c>
    </row>
    <row r="190" spans="1:19" x14ac:dyDescent="0.3">
      <c r="A190">
        <v>10189</v>
      </c>
      <c r="B190" s="1" t="s">
        <v>323</v>
      </c>
      <c r="C190" t="s">
        <v>324</v>
      </c>
      <c r="D190" t="s">
        <v>52</v>
      </c>
      <c r="E190" t="s">
        <v>53</v>
      </c>
      <c r="F190" t="s">
        <v>25</v>
      </c>
      <c r="G190" t="s">
        <v>95</v>
      </c>
      <c r="H190" t="s">
        <v>96</v>
      </c>
      <c r="I190">
        <v>2</v>
      </c>
      <c r="J190">
        <v>9378.4</v>
      </c>
      <c r="K190">
        <v>2644.32</v>
      </c>
      <c r="L190">
        <v>5</v>
      </c>
      <c r="M190" t="s">
        <v>45</v>
      </c>
      <c r="N190" t="str">
        <f>TEXT(Table1[[#This Row],[Order Date]],"MMMM")</f>
        <v>December</v>
      </c>
      <c r="O190">
        <f>YEAR(Table1[[#This Row],[Order Date]])</f>
        <v>2025</v>
      </c>
      <c r="P190" t="str">
        <f>"Q"&amp;ROUNDUP(MONTH(Table1[[#This Row],[Order Date]])/3,0)</f>
        <v>Q4</v>
      </c>
      <c r="Q190" s="3">
        <f>Table1[[#This Row],[Profit]]/Table1[[#This Row],[Sales]]</f>
        <v>0.28195854303505929</v>
      </c>
      <c r="R190" t="str">
        <f>IF(Table1[[#This Row],[Sales]]&lt;1000,"LOW",IF(Table1[[#This Row],[Sales]]&lt;5000,"MEDIUM","HIGH"))</f>
        <v>HIGH</v>
      </c>
      <c r="S190" s="2">
        <f>Table1[[#This Row],[Discount]]/100</f>
        <v>0.05</v>
      </c>
    </row>
    <row r="191" spans="1:19" x14ac:dyDescent="0.3">
      <c r="A191">
        <v>10190</v>
      </c>
      <c r="B191" s="1" t="s">
        <v>325</v>
      </c>
      <c r="C191" t="s">
        <v>326</v>
      </c>
      <c r="D191" t="s">
        <v>56</v>
      </c>
      <c r="E191" t="s">
        <v>57</v>
      </c>
      <c r="F191" t="s">
        <v>25</v>
      </c>
      <c r="G191" t="s">
        <v>26</v>
      </c>
      <c r="H191" t="s">
        <v>71</v>
      </c>
      <c r="I191">
        <v>6</v>
      </c>
      <c r="J191">
        <v>9671.4</v>
      </c>
      <c r="K191">
        <v>2638.77</v>
      </c>
      <c r="L191">
        <v>10</v>
      </c>
      <c r="M191" t="s">
        <v>49</v>
      </c>
      <c r="N191" t="str">
        <f>TEXT(Table1[[#This Row],[Order Date]],"MMMM")</f>
        <v>November</v>
      </c>
      <c r="O191">
        <f>YEAR(Table1[[#This Row],[Order Date]])</f>
        <v>2025</v>
      </c>
      <c r="P191" t="str">
        <f>"Q"&amp;ROUNDUP(MONTH(Table1[[#This Row],[Order Date]])/3,0)</f>
        <v>Q4</v>
      </c>
      <c r="Q191" s="3">
        <f>Table1[[#This Row],[Profit]]/Table1[[#This Row],[Sales]]</f>
        <v>0.27284260810223959</v>
      </c>
      <c r="R191" t="str">
        <f>IF(Table1[[#This Row],[Sales]]&lt;1000,"LOW",IF(Table1[[#This Row],[Sales]]&lt;5000,"MEDIUM","HIGH"))</f>
        <v>HIGH</v>
      </c>
      <c r="S191" s="2">
        <f>Table1[[#This Row],[Discount]]/100</f>
        <v>0.1</v>
      </c>
    </row>
    <row r="192" spans="1:19" x14ac:dyDescent="0.3">
      <c r="A192">
        <v>10191</v>
      </c>
      <c r="B192" s="1" t="s">
        <v>305</v>
      </c>
      <c r="C192" t="s">
        <v>327</v>
      </c>
      <c r="D192" t="s">
        <v>66</v>
      </c>
      <c r="E192" t="s">
        <v>16</v>
      </c>
      <c r="F192" t="s">
        <v>17</v>
      </c>
      <c r="G192" t="s">
        <v>18</v>
      </c>
      <c r="H192" t="s">
        <v>19</v>
      </c>
      <c r="I192">
        <v>4</v>
      </c>
      <c r="J192">
        <v>1331.2</v>
      </c>
      <c r="K192">
        <v>318.07</v>
      </c>
      <c r="L192">
        <v>20</v>
      </c>
      <c r="M192" t="s">
        <v>20</v>
      </c>
      <c r="N192" t="str">
        <f>TEXT(Table1[[#This Row],[Order Date]],"MMMM")</f>
        <v>July</v>
      </c>
      <c r="O192">
        <f>YEAR(Table1[[#This Row],[Order Date]])</f>
        <v>2025</v>
      </c>
      <c r="P192" t="str">
        <f>"Q"&amp;ROUNDUP(MONTH(Table1[[#This Row],[Order Date]])/3,0)</f>
        <v>Q3</v>
      </c>
      <c r="Q192" s="3">
        <f>Table1[[#This Row],[Profit]]/Table1[[#This Row],[Sales]]</f>
        <v>0.23893479567307691</v>
      </c>
      <c r="R192" t="str">
        <f>IF(Table1[[#This Row],[Sales]]&lt;1000,"LOW",IF(Table1[[#This Row],[Sales]]&lt;5000,"MEDIUM","HIGH"))</f>
        <v>MEDIUM</v>
      </c>
      <c r="S192" s="2">
        <f>Table1[[#This Row],[Discount]]/100</f>
        <v>0.2</v>
      </c>
    </row>
    <row r="193" spans="1:19" x14ac:dyDescent="0.3">
      <c r="A193">
        <v>10192</v>
      </c>
      <c r="B193" s="1" t="s">
        <v>259</v>
      </c>
      <c r="C193" t="s">
        <v>328</v>
      </c>
      <c r="D193" t="s">
        <v>66</v>
      </c>
      <c r="E193" t="s">
        <v>16</v>
      </c>
      <c r="F193" t="s">
        <v>25</v>
      </c>
      <c r="G193" t="s">
        <v>26</v>
      </c>
      <c r="H193" t="s">
        <v>48</v>
      </c>
      <c r="I193">
        <v>3</v>
      </c>
      <c r="J193">
        <v>13124.7</v>
      </c>
      <c r="K193">
        <v>2126.37</v>
      </c>
      <c r="L193">
        <v>10</v>
      </c>
      <c r="M193" t="s">
        <v>49</v>
      </c>
      <c r="N193" t="str">
        <f>TEXT(Table1[[#This Row],[Order Date]],"MMMM")</f>
        <v>April</v>
      </c>
      <c r="O193">
        <f>YEAR(Table1[[#This Row],[Order Date]])</f>
        <v>2025</v>
      </c>
      <c r="P193" t="str">
        <f>"Q"&amp;ROUNDUP(MONTH(Table1[[#This Row],[Order Date]])/3,0)</f>
        <v>Q2</v>
      </c>
      <c r="Q193" s="3">
        <f>Table1[[#This Row],[Profit]]/Table1[[#This Row],[Sales]]</f>
        <v>0.16201284600790875</v>
      </c>
      <c r="R193" t="str">
        <f>IF(Table1[[#This Row],[Sales]]&lt;1000,"LOW",IF(Table1[[#This Row],[Sales]]&lt;5000,"MEDIUM","HIGH"))</f>
        <v>HIGH</v>
      </c>
      <c r="S193" s="2">
        <f>Table1[[#This Row],[Discount]]/100</f>
        <v>0.1</v>
      </c>
    </row>
    <row r="194" spans="1:19" x14ac:dyDescent="0.3">
      <c r="A194">
        <v>10193</v>
      </c>
      <c r="B194" s="1" t="s">
        <v>329</v>
      </c>
      <c r="C194" t="s">
        <v>330</v>
      </c>
      <c r="D194" t="s">
        <v>74</v>
      </c>
      <c r="E194" t="s">
        <v>74</v>
      </c>
      <c r="F194" t="s">
        <v>25</v>
      </c>
      <c r="G194" t="s">
        <v>95</v>
      </c>
      <c r="H194" t="s">
        <v>96</v>
      </c>
      <c r="I194">
        <v>4</v>
      </c>
      <c r="J194">
        <v>5939.2</v>
      </c>
      <c r="K194">
        <v>1291.57</v>
      </c>
      <c r="L194">
        <v>20</v>
      </c>
      <c r="M194" t="s">
        <v>20</v>
      </c>
      <c r="N194" t="str">
        <f>TEXT(Table1[[#This Row],[Order Date]],"MMMM")</f>
        <v>August</v>
      </c>
      <c r="O194">
        <f>YEAR(Table1[[#This Row],[Order Date]])</f>
        <v>2025</v>
      </c>
      <c r="P194" t="str">
        <f>"Q"&amp;ROUNDUP(MONTH(Table1[[#This Row],[Order Date]])/3,0)</f>
        <v>Q3</v>
      </c>
      <c r="Q194" s="3">
        <f>Table1[[#This Row],[Profit]]/Table1[[#This Row],[Sales]]</f>
        <v>0.2174653151939655</v>
      </c>
      <c r="R194" t="str">
        <f>IF(Table1[[#This Row],[Sales]]&lt;1000,"LOW",IF(Table1[[#This Row],[Sales]]&lt;5000,"MEDIUM","HIGH"))</f>
        <v>HIGH</v>
      </c>
      <c r="S194" s="2">
        <f>Table1[[#This Row],[Discount]]/100</f>
        <v>0.2</v>
      </c>
    </row>
    <row r="195" spans="1:19" x14ac:dyDescent="0.3">
      <c r="A195">
        <v>10194</v>
      </c>
      <c r="B195" s="1" t="s">
        <v>296</v>
      </c>
      <c r="C195" t="s">
        <v>51</v>
      </c>
      <c r="D195" t="s">
        <v>60</v>
      </c>
      <c r="E195" t="s">
        <v>61</v>
      </c>
      <c r="F195" t="s">
        <v>25</v>
      </c>
      <c r="G195" t="s">
        <v>95</v>
      </c>
      <c r="H195" t="s">
        <v>96</v>
      </c>
      <c r="I195">
        <v>1</v>
      </c>
      <c r="J195">
        <v>1903.5</v>
      </c>
      <c r="K195">
        <v>234.76</v>
      </c>
      <c r="L195">
        <v>10</v>
      </c>
      <c r="M195" t="s">
        <v>20</v>
      </c>
      <c r="N195" t="str">
        <f>TEXT(Table1[[#This Row],[Order Date]],"MMMM")</f>
        <v>February</v>
      </c>
      <c r="O195">
        <f>YEAR(Table1[[#This Row],[Order Date]])</f>
        <v>2025</v>
      </c>
      <c r="P195" t="str">
        <f>"Q"&amp;ROUNDUP(MONTH(Table1[[#This Row],[Order Date]])/3,0)</f>
        <v>Q1</v>
      </c>
      <c r="Q195" s="3">
        <f>Table1[[#This Row],[Profit]]/Table1[[#This Row],[Sales]]</f>
        <v>0.12333070659311794</v>
      </c>
      <c r="R195" t="str">
        <f>IF(Table1[[#This Row],[Sales]]&lt;1000,"LOW",IF(Table1[[#This Row],[Sales]]&lt;5000,"MEDIUM","HIGH"))</f>
        <v>MEDIUM</v>
      </c>
      <c r="S195" s="2">
        <f>Table1[[#This Row],[Discount]]/100</f>
        <v>0.1</v>
      </c>
    </row>
    <row r="196" spans="1:19" x14ac:dyDescent="0.3">
      <c r="A196">
        <v>10195</v>
      </c>
      <c r="B196" s="1" t="s">
        <v>331</v>
      </c>
      <c r="C196" t="s">
        <v>272</v>
      </c>
      <c r="D196" t="s">
        <v>56</v>
      </c>
      <c r="E196" t="s">
        <v>57</v>
      </c>
      <c r="F196" t="s">
        <v>25</v>
      </c>
      <c r="G196" t="s">
        <v>95</v>
      </c>
      <c r="H196" t="s">
        <v>96</v>
      </c>
      <c r="I196">
        <v>4</v>
      </c>
      <c r="J196">
        <v>612</v>
      </c>
      <c r="K196">
        <v>151.36000000000001</v>
      </c>
      <c r="L196">
        <v>10</v>
      </c>
      <c r="M196" t="s">
        <v>49</v>
      </c>
      <c r="N196" t="str">
        <f>TEXT(Table1[[#This Row],[Order Date]],"MMMM")</f>
        <v>October</v>
      </c>
      <c r="O196">
        <f>YEAR(Table1[[#This Row],[Order Date]])</f>
        <v>2025</v>
      </c>
      <c r="P196" t="str">
        <f>"Q"&amp;ROUNDUP(MONTH(Table1[[#This Row],[Order Date]])/3,0)</f>
        <v>Q4</v>
      </c>
      <c r="Q196" s="3">
        <f>Table1[[#This Row],[Profit]]/Table1[[#This Row],[Sales]]</f>
        <v>0.24732026143790853</v>
      </c>
      <c r="R196" t="str">
        <f>IF(Table1[[#This Row],[Sales]]&lt;1000,"LOW",IF(Table1[[#This Row],[Sales]]&lt;5000,"MEDIUM","HIGH"))</f>
        <v>LOW</v>
      </c>
      <c r="S196" s="2">
        <f>Table1[[#This Row],[Discount]]/100</f>
        <v>0.1</v>
      </c>
    </row>
    <row r="197" spans="1:19" x14ac:dyDescent="0.3">
      <c r="A197">
        <v>10196</v>
      </c>
      <c r="B197" s="1" t="s">
        <v>332</v>
      </c>
      <c r="C197" t="s">
        <v>333</v>
      </c>
      <c r="D197" t="s">
        <v>23</v>
      </c>
      <c r="E197" t="s">
        <v>24</v>
      </c>
      <c r="F197" t="s">
        <v>31</v>
      </c>
      <c r="G197" t="s">
        <v>38</v>
      </c>
      <c r="H197" t="s">
        <v>39</v>
      </c>
      <c r="I197">
        <v>3</v>
      </c>
      <c r="J197">
        <v>13155</v>
      </c>
      <c r="K197">
        <v>2468.14</v>
      </c>
      <c r="L197">
        <v>0</v>
      </c>
      <c r="M197" t="s">
        <v>20</v>
      </c>
      <c r="N197" t="str">
        <f>TEXT(Table1[[#This Row],[Order Date]],"MMMM")</f>
        <v>December</v>
      </c>
      <c r="O197">
        <f>YEAR(Table1[[#This Row],[Order Date]])</f>
        <v>2025</v>
      </c>
      <c r="P197" t="str">
        <f>"Q"&amp;ROUNDUP(MONTH(Table1[[#This Row],[Order Date]])/3,0)</f>
        <v>Q4</v>
      </c>
      <c r="Q197" s="3">
        <f>Table1[[#This Row],[Profit]]/Table1[[#This Row],[Sales]]</f>
        <v>0.18761991638160394</v>
      </c>
      <c r="R197" t="str">
        <f>IF(Table1[[#This Row],[Sales]]&lt;1000,"LOW",IF(Table1[[#This Row],[Sales]]&lt;5000,"MEDIUM","HIGH"))</f>
        <v>HIGH</v>
      </c>
      <c r="S197" s="2">
        <f>Table1[[#This Row],[Discount]]/100</f>
        <v>0</v>
      </c>
    </row>
    <row r="198" spans="1:19" x14ac:dyDescent="0.3">
      <c r="A198">
        <v>10197</v>
      </c>
      <c r="B198" s="1" t="s">
        <v>334</v>
      </c>
      <c r="C198" t="s">
        <v>214</v>
      </c>
      <c r="D198" t="s">
        <v>52</v>
      </c>
      <c r="E198" t="s">
        <v>53</v>
      </c>
      <c r="F198" t="s">
        <v>31</v>
      </c>
      <c r="G198" t="s">
        <v>38</v>
      </c>
      <c r="H198" t="s">
        <v>39</v>
      </c>
      <c r="I198">
        <v>7</v>
      </c>
      <c r="J198">
        <v>19756.8</v>
      </c>
      <c r="K198">
        <v>3563.56</v>
      </c>
      <c r="L198">
        <v>10</v>
      </c>
      <c r="M198" t="s">
        <v>40</v>
      </c>
      <c r="N198" t="str">
        <f>TEXT(Table1[[#This Row],[Order Date]],"MMMM")</f>
        <v>April</v>
      </c>
      <c r="O198">
        <f>YEAR(Table1[[#This Row],[Order Date]])</f>
        <v>2025</v>
      </c>
      <c r="P198" t="str">
        <f>"Q"&amp;ROUNDUP(MONTH(Table1[[#This Row],[Order Date]])/3,0)</f>
        <v>Q2</v>
      </c>
      <c r="Q198" s="3">
        <f>Table1[[#This Row],[Profit]]/Table1[[#This Row],[Sales]]</f>
        <v>0.18037131519274377</v>
      </c>
      <c r="R198" t="str">
        <f>IF(Table1[[#This Row],[Sales]]&lt;1000,"LOW",IF(Table1[[#This Row],[Sales]]&lt;5000,"MEDIUM","HIGH"))</f>
        <v>HIGH</v>
      </c>
      <c r="S198" s="2">
        <f>Table1[[#This Row],[Discount]]/100</f>
        <v>0.1</v>
      </c>
    </row>
    <row r="199" spans="1:19" x14ac:dyDescent="0.3">
      <c r="A199">
        <v>10198</v>
      </c>
      <c r="B199" s="1" t="s">
        <v>254</v>
      </c>
      <c r="C199" t="s">
        <v>103</v>
      </c>
      <c r="D199" t="s">
        <v>36</v>
      </c>
      <c r="E199" t="s">
        <v>37</v>
      </c>
      <c r="F199" t="s">
        <v>31</v>
      </c>
      <c r="G199" t="s">
        <v>124</v>
      </c>
      <c r="H199" t="s">
        <v>125</v>
      </c>
      <c r="I199">
        <v>1</v>
      </c>
      <c r="J199">
        <v>1187.2</v>
      </c>
      <c r="K199">
        <v>181.95</v>
      </c>
      <c r="L199">
        <v>20</v>
      </c>
      <c r="M199" t="s">
        <v>49</v>
      </c>
      <c r="N199" t="str">
        <f>TEXT(Table1[[#This Row],[Order Date]],"MMMM")</f>
        <v>March</v>
      </c>
      <c r="O199">
        <f>YEAR(Table1[[#This Row],[Order Date]])</f>
        <v>2025</v>
      </c>
      <c r="P199" t="str">
        <f>"Q"&amp;ROUNDUP(MONTH(Table1[[#This Row],[Order Date]])/3,0)</f>
        <v>Q1</v>
      </c>
      <c r="Q199" s="3">
        <f>Table1[[#This Row],[Profit]]/Table1[[#This Row],[Sales]]</f>
        <v>0.15325977088948786</v>
      </c>
      <c r="R199" t="str">
        <f>IF(Table1[[#This Row],[Sales]]&lt;1000,"LOW",IF(Table1[[#This Row],[Sales]]&lt;5000,"MEDIUM","HIGH"))</f>
        <v>MEDIUM</v>
      </c>
      <c r="S199" s="2">
        <f>Table1[[#This Row],[Discount]]/100</f>
        <v>0.2</v>
      </c>
    </row>
    <row r="200" spans="1:19" x14ac:dyDescent="0.3">
      <c r="A200">
        <v>10199</v>
      </c>
      <c r="B200" s="1" t="s">
        <v>335</v>
      </c>
      <c r="C200" t="s">
        <v>182</v>
      </c>
      <c r="D200" t="s">
        <v>23</v>
      </c>
      <c r="E200" t="s">
        <v>24</v>
      </c>
      <c r="F200" t="s">
        <v>31</v>
      </c>
      <c r="G200" t="s">
        <v>38</v>
      </c>
      <c r="H200" t="s">
        <v>39</v>
      </c>
      <c r="I200">
        <v>7</v>
      </c>
      <c r="J200">
        <v>6636.7</v>
      </c>
      <c r="K200">
        <v>793.11</v>
      </c>
      <c r="L200">
        <v>5</v>
      </c>
      <c r="M200" t="s">
        <v>20</v>
      </c>
      <c r="N200" t="str">
        <f>TEXT(Table1[[#This Row],[Order Date]],"MMMM")</f>
        <v>June</v>
      </c>
      <c r="O200">
        <f>YEAR(Table1[[#This Row],[Order Date]])</f>
        <v>2025</v>
      </c>
      <c r="P200" t="str">
        <f>"Q"&amp;ROUNDUP(MONTH(Table1[[#This Row],[Order Date]])/3,0)</f>
        <v>Q2</v>
      </c>
      <c r="Q200" s="3">
        <f>Table1[[#This Row],[Profit]]/Table1[[#This Row],[Sales]]</f>
        <v>0.11950366899211959</v>
      </c>
      <c r="R200" t="str">
        <f>IF(Table1[[#This Row],[Sales]]&lt;1000,"LOW",IF(Table1[[#This Row],[Sales]]&lt;5000,"MEDIUM","HIGH"))</f>
        <v>HIGH</v>
      </c>
      <c r="S200" s="2">
        <f>Table1[[#This Row],[Discount]]/100</f>
        <v>0.05</v>
      </c>
    </row>
    <row r="201" spans="1:19" x14ac:dyDescent="0.3">
      <c r="A201">
        <v>10200</v>
      </c>
      <c r="B201" s="1" t="s">
        <v>336</v>
      </c>
      <c r="C201" t="s">
        <v>337</v>
      </c>
      <c r="D201" t="s">
        <v>66</v>
      </c>
      <c r="E201" t="s">
        <v>16</v>
      </c>
      <c r="F201" t="s">
        <v>25</v>
      </c>
      <c r="G201" t="s">
        <v>26</v>
      </c>
      <c r="H201" t="s">
        <v>27</v>
      </c>
      <c r="I201">
        <v>7</v>
      </c>
      <c r="J201">
        <v>6333.6</v>
      </c>
      <c r="K201">
        <v>873.67</v>
      </c>
      <c r="L201">
        <v>20</v>
      </c>
      <c r="M201" t="s">
        <v>45</v>
      </c>
      <c r="N201" t="str">
        <f>TEXT(Table1[[#This Row],[Order Date]],"MMMM")</f>
        <v>February</v>
      </c>
      <c r="O201">
        <f>YEAR(Table1[[#This Row],[Order Date]])</f>
        <v>2025</v>
      </c>
      <c r="P201" t="str">
        <f>"Q"&amp;ROUNDUP(MONTH(Table1[[#This Row],[Order Date]])/3,0)</f>
        <v>Q1</v>
      </c>
      <c r="Q201" s="3">
        <f>Table1[[#This Row],[Profit]]/Table1[[#This Row],[Sales]]</f>
        <v>0.13794208664898319</v>
      </c>
      <c r="R201" t="str">
        <f>IF(Table1[[#This Row],[Sales]]&lt;1000,"LOW",IF(Table1[[#This Row],[Sales]]&lt;5000,"MEDIUM","HIGH"))</f>
        <v>HIGH</v>
      </c>
      <c r="S201" s="2">
        <f>Table1[[#This Row],[Discount]]/100</f>
        <v>0.2</v>
      </c>
    </row>
    <row r="202" spans="1:19" x14ac:dyDescent="0.3">
      <c r="A202">
        <v>10201</v>
      </c>
      <c r="B202" s="1" t="s">
        <v>338</v>
      </c>
      <c r="C202" t="s">
        <v>315</v>
      </c>
      <c r="D202" t="s">
        <v>15</v>
      </c>
      <c r="E202" t="s">
        <v>16</v>
      </c>
      <c r="F202" t="s">
        <v>31</v>
      </c>
      <c r="G202" t="s">
        <v>89</v>
      </c>
      <c r="H202" t="s">
        <v>90</v>
      </c>
      <c r="I202">
        <v>4</v>
      </c>
      <c r="J202">
        <v>4339.2</v>
      </c>
      <c r="K202">
        <v>446.07</v>
      </c>
      <c r="L202">
        <v>20</v>
      </c>
      <c r="M202" t="s">
        <v>40</v>
      </c>
      <c r="N202" t="str">
        <f>TEXT(Table1[[#This Row],[Order Date]],"MMMM")</f>
        <v>September</v>
      </c>
      <c r="O202">
        <f>YEAR(Table1[[#This Row],[Order Date]])</f>
        <v>2025</v>
      </c>
      <c r="P202" t="str">
        <f>"Q"&amp;ROUNDUP(MONTH(Table1[[#This Row],[Order Date]])/3,0)</f>
        <v>Q3</v>
      </c>
      <c r="Q202" s="3">
        <f>Table1[[#This Row],[Profit]]/Table1[[#This Row],[Sales]]</f>
        <v>0.10280005530973452</v>
      </c>
      <c r="R202" t="str">
        <f>IF(Table1[[#This Row],[Sales]]&lt;1000,"LOW",IF(Table1[[#This Row],[Sales]]&lt;5000,"MEDIUM","HIGH"))</f>
        <v>MEDIUM</v>
      </c>
      <c r="S202" s="2">
        <f>Table1[[#This Row],[Discount]]/100</f>
        <v>0.2</v>
      </c>
    </row>
    <row r="203" spans="1:19" x14ac:dyDescent="0.3">
      <c r="A203">
        <v>10202</v>
      </c>
      <c r="B203" s="1" t="s">
        <v>299</v>
      </c>
      <c r="C203" t="s">
        <v>297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</v>
      </c>
      <c r="J203">
        <v>928</v>
      </c>
      <c r="K203">
        <v>106.1</v>
      </c>
      <c r="L203">
        <v>0</v>
      </c>
      <c r="M203" t="s">
        <v>49</v>
      </c>
      <c r="N203" t="str">
        <f>TEXT(Table1[[#This Row],[Order Date]],"MMMM")</f>
        <v>February</v>
      </c>
      <c r="O203">
        <f>YEAR(Table1[[#This Row],[Order Date]])</f>
        <v>2025</v>
      </c>
      <c r="P203" t="str">
        <f>"Q"&amp;ROUNDUP(MONTH(Table1[[#This Row],[Order Date]])/3,0)</f>
        <v>Q1</v>
      </c>
      <c r="Q203" s="3">
        <f>Table1[[#This Row],[Profit]]/Table1[[#This Row],[Sales]]</f>
        <v>0.11433189655172413</v>
      </c>
      <c r="R203" t="str">
        <f>IF(Table1[[#This Row],[Sales]]&lt;1000,"LOW",IF(Table1[[#This Row],[Sales]]&lt;5000,"MEDIUM","HIGH"))</f>
        <v>LOW</v>
      </c>
      <c r="S203" s="2">
        <f>Table1[[#This Row],[Discount]]/100</f>
        <v>0</v>
      </c>
    </row>
    <row r="204" spans="1:19" x14ac:dyDescent="0.3">
      <c r="A204">
        <v>10203</v>
      </c>
      <c r="B204" s="1" t="s">
        <v>164</v>
      </c>
      <c r="C204" t="s">
        <v>105</v>
      </c>
      <c r="D204" t="s">
        <v>36</v>
      </c>
      <c r="E204" t="s">
        <v>37</v>
      </c>
      <c r="F204" t="s">
        <v>17</v>
      </c>
      <c r="G204" t="s">
        <v>43</v>
      </c>
      <c r="H204" t="s">
        <v>44</v>
      </c>
      <c r="I204">
        <v>3</v>
      </c>
      <c r="J204">
        <v>7830</v>
      </c>
      <c r="K204">
        <v>1933.83</v>
      </c>
      <c r="L204">
        <v>0</v>
      </c>
      <c r="M204" t="s">
        <v>49</v>
      </c>
      <c r="N204" t="str">
        <f>TEXT(Table1[[#This Row],[Order Date]],"MMMM")</f>
        <v>October</v>
      </c>
      <c r="O204">
        <f>YEAR(Table1[[#This Row],[Order Date]])</f>
        <v>2025</v>
      </c>
      <c r="P204" t="str">
        <f>"Q"&amp;ROUNDUP(MONTH(Table1[[#This Row],[Order Date]])/3,0)</f>
        <v>Q4</v>
      </c>
      <c r="Q204" s="3">
        <f>Table1[[#This Row],[Profit]]/Table1[[#This Row],[Sales]]</f>
        <v>0.24697701149425286</v>
      </c>
      <c r="R204" t="str">
        <f>IF(Table1[[#This Row],[Sales]]&lt;1000,"LOW",IF(Table1[[#This Row],[Sales]]&lt;5000,"MEDIUM","HIGH"))</f>
        <v>HIGH</v>
      </c>
      <c r="S204" s="2">
        <f>Table1[[#This Row],[Discount]]/100</f>
        <v>0</v>
      </c>
    </row>
    <row r="205" spans="1:19" x14ac:dyDescent="0.3">
      <c r="A205">
        <v>10204</v>
      </c>
      <c r="B205" s="1" t="s">
        <v>335</v>
      </c>
      <c r="C205" t="s">
        <v>238</v>
      </c>
      <c r="D205" t="s">
        <v>60</v>
      </c>
      <c r="E205" t="s">
        <v>61</v>
      </c>
      <c r="F205" t="s">
        <v>17</v>
      </c>
      <c r="G205" t="s">
        <v>18</v>
      </c>
      <c r="H205" t="s">
        <v>19</v>
      </c>
      <c r="I205">
        <v>2</v>
      </c>
      <c r="J205">
        <v>4195.8</v>
      </c>
      <c r="K205">
        <v>497.9</v>
      </c>
      <c r="L205">
        <v>10</v>
      </c>
      <c r="M205" t="s">
        <v>49</v>
      </c>
      <c r="N205" t="str">
        <f>TEXT(Table1[[#This Row],[Order Date]],"MMMM")</f>
        <v>June</v>
      </c>
      <c r="O205">
        <f>YEAR(Table1[[#This Row],[Order Date]])</f>
        <v>2025</v>
      </c>
      <c r="P205" t="str">
        <f>"Q"&amp;ROUNDUP(MONTH(Table1[[#This Row],[Order Date]])/3,0)</f>
        <v>Q2</v>
      </c>
      <c r="Q205" s="3">
        <f>Table1[[#This Row],[Profit]]/Table1[[#This Row],[Sales]]</f>
        <v>0.118666285332952</v>
      </c>
      <c r="R205" t="str">
        <f>IF(Table1[[#This Row],[Sales]]&lt;1000,"LOW",IF(Table1[[#This Row],[Sales]]&lt;5000,"MEDIUM","HIGH"))</f>
        <v>MEDIUM</v>
      </c>
      <c r="S205" s="2">
        <f>Table1[[#This Row],[Discount]]/100</f>
        <v>0.1</v>
      </c>
    </row>
    <row r="206" spans="1:19" x14ac:dyDescent="0.3">
      <c r="A206">
        <v>10205</v>
      </c>
      <c r="B206" s="1" t="s">
        <v>192</v>
      </c>
      <c r="C206" t="s">
        <v>78</v>
      </c>
      <c r="D206" t="s">
        <v>36</v>
      </c>
      <c r="E206" t="s">
        <v>37</v>
      </c>
      <c r="F206" t="s">
        <v>31</v>
      </c>
      <c r="G206" t="s">
        <v>124</v>
      </c>
      <c r="H206" t="s">
        <v>125</v>
      </c>
      <c r="I206">
        <v>2</v>
      </c>
      <c r="J206">
        <v>8236.5</v>
      </c>
      <c r="K206">
        <v>808.88</v>
      </c>
      <c r="L206">
        <v>5</v>
      </c>
      <c r="M206" t="s">
        <v>45</v>
      </c>
      <c r="N206" t="str">
        <f>TEXT(Table1[[#This Row],[Order Date]],"MMMM")</f>
        <v>June</v>
      </c>
      <c r="O206">
        <f>YEAR(Table1[[#This Row],[Order Date]])</f>
        <v>2025</v>
      </c>
      <c r="P206" t="str">
        <f>"Q"&amp;ROUNDUP(MONTH(Table1[[#This Row],[Order Date]])/3,0)</f>
        <v>Q2</v>
      </c>
      <c r="Q206" s="3">
        <f>Table1[[#This Row],[Profit]]/Table1[[#This Row],[Sales]]</f>
        <v>9.8206762581193471E-2</v>
      </c>
      <c r="R206" t="str">
        <f>IF(Table1[[#This Row],[Sales]]&lt;1000,"LOW",IF(Table1[[#This Row],[Sales]]&lt;5000,"MEDIUM","HIGH"))</f>
        <v>HIGH</v>
      </c>
      <c r="S206" s="2">
        <f>Table1[[#This Row],[Discount]]/100</f>
        <v>0.05</v>
      </c>
    </row>
    <row r="207" spans="1:19" x14ac:dyDescent="0.3">
      <c r="A207">
        <v>10206</v>
      </c>
      <c r="B207" s="1" t="s">
        <v>339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6</v>
      </c>
      <c r="J207">
        <v>13295.7</v>
      </c>
      <c r="K207">
        <v>3413.57</v>
      </c>
      <c r="L207">
        <v>15</v>
      </c>
      <c r="M207" t="s">
        <v>20</v>
      </c>
      <c r="N207" t="str">
        <f>TEXT(Table1[[#This Row],[Order Date]],"MMMM")</f>
        <v>July</v>
      </c>
      <c r="O207">
        <f>YEAR(Table1[[#This Row],[Order Date]])</f>
        <v>2025</v>
      </c>
      <c r="P207" t="str">
        <f>"Q"&amp;ROUNDUP(MONTH(Table1[[#This Row],[Order Date]])/3,0)</f>
        <v>Q3</v>
      </c>
      <c r="Q207" s="3">
        <f>Table1[[#This Row],[Profit]]/Table1[[#This Row],[Sales]]</f>
        <v>0.25674240543935256</v>
      </c>
      <c r="R207" t="str">
        <f>IF(Table1[[#This Row],[Sales]]&lt;1000,"LOW",IF(Table1[[#This Row],[Sales]]&lt;5000,"MEDIUM","HIGH"))</f>
        <v>HIGH</v>
      </c>
      <c r="S207" s="2">
        <f>Table1[[#This Row],[Discount]]/100</f>
        <v>0.15</v>
      </c>
    </row>
    <row r="208" spans="1:19" x14ac:dyDescent="0.3">
      <c r="A208">
        <v>10207</v>
      </c>
      <c r="B208" s="1" t="s">
        <v>340</v>
      </c>
      <c r="C208" t="s">
        <v>341</v>
      </c>
      <c r="D208" t="s">
        <v>56</v>
      </c>
      <c r="E208" t="s">
        <v>57</v>
      </c>
      <c r="F208" t="s">
        <v>25</v>
      </c>
      <c r="G208" t="s">
        <v>26</v>
      </c>
      <c r="H208" t="s">
        <v>27</v>
      </c>
      <c r="I208">
        <v>6</v>
      </c>
      <c r="J208">
        <v>17102.400000000001</v>
      </c>
      <c r="K208">
        <v>4694.1000000000004</v>
      </c>
      <c r="L208">
        <v>20</v>
      </c>
      <c r="M208" t="s">
        <v>45</v>
      </c>
      <c r="N208" t="str">
        <f>TEXT(Table1[[#This Row],[Order Date]],"MMMM")</f>
        <v>November</v>
      </c>
      <c r="O208">
        <f>YEAR(Table1[[#This Row],[Order Date]])</f>
        <v>2025</v>
      </c>
      <c r="P208" t="str">
        <f>"Q"&amp;ROUNDUP(MONTH(Table1[[#This Row],[Order Date]])/3,0)</f>
        <v>Q4</v>
      </c>
      <c r="Q208" s="3">
        <f>Table1[[#This Row],[Profit]]/Table1[[#This Row],[Sales]]</f>
        <v>0.27447024978950324</v>
      </c>
      <c r="R208" t="str">
        <f>IF(Table1[[#This Row],[Sales]]&lt;1000,"LOW",IF(Table1[[#This Row],[Sales]]&lt;5000,"MEDIUM","HIGH"))</f>
        <v>HIGH</v>
      </c>
      <c r="S208" s="2">
        <f>Table1[[#This Row],[Discount]]/100</f>
        <v>0.2</v>
      </c>
    </row>
    <row r="209" spans="1:19" x14ac:dyDescent="0.3">
      <c r="A209">
        <v>10208</v>
      </c>
      <c r="B209" s="1" t="s">
        <v>218</v>
      </c>
      <c r="C209" t="s">
        <v>342</v>
      </c>
      <c r="D209" t="s">
        <v>23</v>
      </c>
      <c r="E209" t="s">
        <v>24</v>
      </c>
      <c r="F209" t="s">
        <v>31</v>
      </c>
      <c r="G209" t="s">
        <v>124</v>
      </c>
      <c r="H209" t="s">
        <v>125</v>
      </c>
      <c r="I209">
        <v>2</v>
      </c>
      <c r="J209">
        <v>2640</v>
      </c>
      <c r="K209">
        <v>723.95</v>
      </c>
      <c r="L209">
        <v>0</v>
      </c>
      <c r="M209" t="s">
        <v>28</v>
      </c>
      <c r="N209" t="str">
        <f>TEXT(Table1[[#This Row],[Order Date]],"MMMM")</f>
        <v>July</v>
      </c>
      <c r="O209">
        <f>YEAR(Table1[[#This Row],[Order Date]])</f>
        <v>2025</v>
      </c>
      <c r="P209" t="str">
        <f>"Q"&amp;ROUNDUP(MONTH(Table1[[#This Row],[Order Date]])/3,0)</f>
        <v>Q3</v>
      </c>
      <c r="Q209" s="3">
        <f>Table1[[#This Row],[Profit]]/Table1[[#This Row],[Sales]]</f>
        <v>0.27422348484848486</v>
      </c>
      <c r="R209" t="str">
        <f>IF(Table1[[#This Row],[Sales]]&lt;1000,"LOW",IF(Table1[[#This Row],[Sales]]&lt;5000,"MEDIUM","HIGH"))</f>
        <v>MEDIUM</v>
      </c>
      <c r="S209" s="2">
        <f>Table1[[#This Row],[Discount]]/100</f>
        <v>0</v>
      </c>
    </row>
    <row r="210" spans="1:19" x14ac:dyDescent="0.3">
      <c r="A210">
        <v>10209</v>
      </c>
      <c r="B210" s="1" t="s">
        <v>267</v>
      </c>
      <c r="C210" t="s">
        <v>343</v>
      </c>
      <c r="D210" t="s">
        <v>56</v>
      </c>
      <c r="E210" t="s">
        <v>57</v>
      </c>
      <c r="F210" t="s">
        <v>31</v>
      </c>
      <c r="G210" t="s">
        <v>89</v>
      </c>
      <c r="H210" t="s">
        <v>90</v>
      </c>
      <c r="I210">
        <v>8</v>
      </c>
      <c r="J210">
        <v>22598.400000000001</v>
      </c>
      <c r="K210">
        <v>4170.04</v>
      </c>
      <c r="L210">
        <v>20</v>
      </c>
      <c r="M210" t="s">
        <v>20</v>
      </c>
      <c r="N210" t="str">
        <f>TEXT(Table1[[#This Row],[Order Date]],"MMMM")</f>
        <v>December</v>
      </c>
      <c r="O210">
        <f>YEAR(Table1[[#This Row],[Order Date]])</f>
        <v>2025</v>
      </c>
      <c r="P210" t="str">
        <f>"Q"&amp;ROUNDUP(MONTH(Table1[[#This Row],[Order Date]])/3,0)</f>
        <v>Q4</v>
      </c>
      <c r="Q210" s="3">
        <f>Table1[[#This Row],[Profit]]/Table1[[#This Row],[Sales]]</f>
        <v>0.18452810818465024</v>
      </c>
      <c r="R210" t="str">
        <f>IF(Table1[[#This Row],[Sales]]&lt;1000,"LOW",IF(Table1[[#This Row],[Sales]]&lt;5000,"MEDIUM","HIGH"))</f>
        <v>HIGH</v>
      </c>
      <c r="S210" s="2">
        <f>Table1[[#This Row],[Discount]]/100</f>
        <v>0.2</v>
      </c>
    </row>
    <row r="211" spans="1:19" x14ac:dyDescent="0.3">
      <c r="A211">
        <v>10210</v>
      </c>
      <c r="B211" s="1" t="s">
        <v>296</v>
      </c>
      <c r="C211" t="s">
        <v>92</v>
      </c>
      <c r="D211" t="s">
        <v>56</v>
      </c>
      <c r="E211" t="s">
        <v>57</v>
      </c>
      <c r="F211" t="s">
        <v>25</v>
      </c>
      <c r="G211" t="s">
        <v>95</v>
      </c>
      <c r="H211" t="s">
        <v>96</v>
      </c>
      <c r="I211">
        <v>5</v>
      </c>
      <c r="J211">
        <v>1705.25</v>
      </c>
      <c r="K211">
        <v>167.98</v>
      </c>
      <c r="L211">
        <v>5</v>
      </c>
      <c r="M211" t="s">
        <v>40</v>
      </c>
      <c r="N211" t="str">
        <f>TEXT(Table1[[#This Row],[Order Date]],"MMMM")</f>
        <v>February</v>
      </c>
      <c r="O211">
        <f>YEAR(Table1[[#This Row],[Order Date]])</f>
        <v>2025</v>
      </c>
      <c r="P211" t="str">
        <f>"Q"&amp;ROUNDUP(MONTH(Table1[[#This Row],[Order Date]])/3,0)</f>
        <v>Q1</v>
      </c>
      <c r="Q211" s="3">
        <f>Table1[[#This Row],[Profit]]/Table1[[#This Row],[Sales]]</f>
        <v>9.8507550212578801E-2</v>
      </c>
      <c r="R211" t="str">
        <f>IF(Table1[[#This Row],[Sales]]&lt;1000,"LOW",IF(Table1[[#This Row],[Sales]]&lt;5000,"MEDIUM","HIGH"))</f>
        <v>MEDIUM</v>
      </c>
      <c r="S211" s="2">
        <f>Table1[[#This Row],[Discount]]/100</f>
        <v>0.05</v>
      </c>
    </row>
    <row r="212" spans="1:19" x14ac:dyDescent="0.3">
      <c r="A212">
        <v>10211</v>
      </c>
      <c r="B212" s="1" t="s">
        <v>344</v>
      </c>
      <c r="C212" t="s">
        <v>150</v>
      </c>
      <c r="D212" t="s">
        <v>60</v>
      </c>
      <c r="E212" t="s">
        <v>61</v>
      </c>
      <c r="F212" t="s">
        <v>31</v>
      </c>
      <c r="G212" t="s">
        <v>38</v>
      </c>
      <c r="H212" t="s">
        <v>39</v>
      </c>
      <c r="I212">
        <v>8</v>
      </c>
      <c r="J212">
        <v>22056</v>
      </c>
      <c r="K212">
        <v>2453.36</v>
      </c>
      <c r="L212">
        <v>0</v>
      </c>
      <c r="M212" t="s">
        <v>20</v>
      </c>
      <c r="N212" t="str">
        <f>TEXT(Table1[[#This Row],[Order Date]],"MMMM")</f>
        <v>July</v>
      </c>
      <c r="O212">
        <f>YEAR(Table1[[#This Row],[Order Date]])</f>
        <v>2025</v>
      </c>
      <c r="P212" t="str">
        <f>"Q"&amp;ROUNDUP(MONTH(Table1[[#This Row],[Order Date]])/3,0)</f>
        <v>Q3</v>
      </c>
      <c r="Q212" s="3">
        <f>Table1[[#This Row],[Profit]]/Table1[[#This Row],[Sales]]</f>
        <v>0.11123322451940515</v>
      </c>
      <c r="R212" t="str">
        <f>IF(Table1[[#This Row],[Sales]]&lt;1000,"LOW",IF(Table1[[#This Row],[Sales]]&lt;5000,"MEDIUM","HIGH"))</f>
        <v>HIGH</v>
      </c>
      <c r="S212" s="2">
        <f>Table1[[#This Row],[Discount]]/100</f>
        <v>0</v>
      </c>
    </row>
    <row r="213" spans="1:19" x14ac:dyDescent="0.3">
      <c r="A213">
        <v>10212</v>
      </c>
      <c r="B213" s="1" t="s">
        <v>345</v>
      </c>
      <c r="C213" t="s">
        <v>197</v>
      </c>
      <c r="D213" t="s">
        <v>36</v>
      </c>
      <c r="E213" t="s">
        <v>37</v>
      </c>
      <c r="F213" t="s">
        <v>25</v>
      </c>
      <c r="G213" t="s">
        <v>26</v>
      </c>
      <c r="H213" t="s">
        <v>27</v>
      </c>
      <c r="I213">
        <v>3</v>
      </c>
      <c r="J213">
        <v>10852.8</v>
      </c>
      <c r="K213">
        <v>1059.48</v>
      </c>
      <c r="L213">
        <v>5</v>
      </c>
      <c r="M213" t="s">
        <v>45</v>
      </c>
      <c r="N213" t="str">
        <f>TEXT(Table1[[#This Row],[Order Date]],"MMMM")</f>
        <v>June</v>
      </c>
      <c r="O213">
        <f>YEAR(Table1[[#This Row],[Order Date]])</f>
        <v>2025</v>
      </c>
      <c r="P213" t="str">
        <f>"Q"&amp;ROUNDUP(MONTH(Table1[[#This Row],[Order Date]])/3,0)</f>
        <v>Q2</v>
      </c>
      <c r="Q213" s="3">
        <f>Table1[[#This Row],[Profit]]/Table1[[#This Row],[Sales]]</f>
        <v>9.7622733303847867E-2</v>
      </c>
      <c r="R213" t="str">
        <f>IF(Table1[[#This Row],[Sales]]&lt;1000,"LOW",IF(Table1[[#This Row],[Sales]]&lt;5000,"MEDIUM","HIGH"))</f>
        <v>HIGH</v>
      </c>
      <c r="S213" s="2">
        <f>Table1[[#This Row],[Discount]]/100</f>
        <v>0.05</v>
      </c>
    </row>
    <row r="214" spans="1:19" x14ac:dyDescent="0.3">
      <c r="A214">
        <v>10213</v>
      </c>
      <c r="B214" s="1" t="s">
        <v>346</v>
      </c>
      <c r="C214" t="s">
        <v>347</v>
      </c>
      <c r="D214" t="s">
        <v>66</v>
      </c>
      <c r="E214" t="s">
        <v>16</v>
      </c>
      <c r="F214" t="s">
        <v>25</v>
      </c>
      <c r="G214" t="s">
        <v>26</v>
      </c>
      <c r="H214" t="s">
        <v>48</v>
      </c>
      <c r="I214">
        <v>6</v>
      </c>
      <c r="J214">
        <v>4602</v>
      </c>
      <c r="K214">
        <v>551.29999999999995</v>
      </c>
      <c r="L214">
        <v>0</v>
      </c>
      <c r="M214" t="s">
        <v>40</v>
      </c>
      <c r="N214" t="str">
        <f>TEXT(Table1[[#This Row],[Order Date]],"MMMM")</f>
        <v>October</v>
      </c>
      <c r="O214">
        <f>YEAR(Table1[[#This Row],[Order Date]])</f>
        <v>2025</v>
      </c>
      <c r="P214" t="str">
        <f>"Q"&amp;ROUNDUP(MONTH(Table1[[#This Row],[Order Date]])/3,0)</f>
        <v>Q4</v>
      </c>
      <c r="Q214" s="3">
        <f>Table1[[#This Row],[Profit]]/Table1[[#This Row],[Sales]]</f>
        <v>0.11979574098218165</v>
      </c>
      <c r="R214" t="str">
        <f>IF(Table1[[#This Row],[Sales]]&lt;1000,"LOW",IF(Table1[[#This Row],[Sales]]&lt;5000,"MEDIUM","HIGH"))</f>
        <v>MEDIUM</v>
      </c>
      <c r="S214" s="2">
        <f>Table1[[#This Row],[Discount]]/100</f>
        <v>0</v>
      </c>
    </row>
    <row r="215" spans="1:19" x14ac:dyDescent="0.3">
      <c r="A215">
        <v>10214</v>
      </c>
      <c r="B215" s="1" t="s">
        <v>173</v>
      </c>
      <c r="C215" t="s">
        <v>288</v>
      </c>
      <c r="D215" t="s">
        <v>15</v>
      </c>
      <c r="E215" t="s">
        <v>16</v>
      </c>
      <c r="F215" t="s">
        <v>17</v>
      </c>
      <c r="G215" t="s">
        <v>75</v>
      </c>
      <c r="H215" t="s">
        <v>76</v>
      </c>
      <c r="I215">
        <v>4</v>
      </c>
      <c r="J215">
        <v>11920</v>
      </c>
      <c r="K215">
        <v>1625.53</v>
      </c>
      <c r="L215">
        <v>20</v>
      </c>
      <c r="M215" t="s">
        <v>20</v>
      </c>
      <c r="N215" t="str">
        <f>TEXT(Table1[[#This Row],[Order Date]],"MMMM")</f>
        <v>August</v>
      </c>
      <c r="O215">
        <f>YEAR(Table1[[#This Row],[Order Date]])</f>
        <v>2025</v>
      </c>
      <c r="P215" t="str">
        <f>"Q"&amp;ROUNDUP(MONTH(Table1[[#This Row],[Order Date]])/3,0)</f>
        <v>Q3</v>
      </c>
      <c r="Q215" s="3">
        <f>Table1[[#This Row],[Profit]]/Table1[[#This Row],[Sales]]</f>
        <v>0.13636996644295302</v>
      </c>
      <c r="R215" t="str">
        <f>IF(Table1[[#This Row],[Sales]]&lt;1000,"LOW",IF(Table1[[#This Row],[Sales]]&lt;5000,"MEDIUM","HIGH"))</f>
        <v>HIGH</v>
      </c>
      <c r="S215" s="2">
        <f>Table1[[#This Row],[Discount]]/100</f>
        <v>0.2</v>
      </c>
    </row>
    <row r="216" spans="1:19" x14ac:dyDescent="0.3">
      <c r="A216">
        <v>10215</v>
      </c>
      <c r="B216" s="1" t="s">
        <v>348</v>
      </c>
      <c r="C216" t="s">
        <v>349</v>
      </c>
      <c r="D216" t="s">
        <v>15</v>
      </c>
      <c r="E216" t="s">
        <v>16</v>
      </c>
      <c r="F216" t="s">
        <v>31</v>
      </c>
      <c r="G216" t="s">
        <v>32</v>
      </c>
      <c r="H216" t="s">
        <v>33</v>
      </c>
      <c r="I216">
        <v>7</v>
      </c>
      <c r="J216">
        <v>1561</v>
      </c>
      <c r="K216">
        <v>435.39</v>
      </c>
      <c r="L216">
        <v>0</v>
      </c>
      <c r="M216" t="s">
        <v>20</v>
      </c>
      <c r="N216" t="str">
        <f>TEXT(Table1[[#This Row],[Order Date]],"MMMM")</f>
        <v>December</v>
      </c>
      <c r="O216">
        <f>YEAR(Table1[[#This Row],[Order Date]])</f>
        <v>2025</v>
      </c>
      <c r="P216" t="str">
        <f>"Q"&amp;ROUNDUP(MONTH(Table1[[#This Row],[Order Date]])/3,0)</f>
        <v>Q4</v>
      </c>
      <c r="Q216" s="3">
        <f>Table1[[#This Row],[Profit]]/Table1[[#This Row],[Sales]]</f>
        <v>0.27891736066623957</v>
      </c>
      <c r="R216" t="str">
        <f>IF(Table1[[#This Row],[Sales]]&lt;1000,"LOW",IF(Table1[[#This Row],[Sales]]&lt;5000,"MEDIUM","HIGH"))</f>
        <v>MEDIUM</v>
      </c>
      <c r="S216" s="2">
        <f>Table1[[#This Row],[Discount]]/100</f>
        <v>0</v>
      </c>
    </row>
    <row r="217" spans="1:19" x14ac:dyDescent="0.3">
      <c r="A217">
        <v>10216</v>
      </c>
      <c r="B217" s="1" t="s">
        <v>290</v>
      </c>
      <c r="C217" t="s">
        <v>327</v>
      </c>
      <c r="D217" t="s">
        <v>23</v>
      </c>
      <c r="E217" t="s">
        <v>24</v>
      </c>
      <c r="F217" t="s">
        <v>25</v>
      </c>
      <c r="G217" t="s">
        <v>26</v>
      </c>
      <c r="H217" t="s">
        <v>71</v>
      </c>
      <c r="I217">
        <v>4</v>
      </c>
      <c r="J217">
        <v>1934.2</v>
      </c>
      <c r="K217">
        <v>485.19</v>
      </c>
      <c r="L217">
        <v>5</v>
      </c>
      <c r="M217" t="s">
        <v>20</v>
      </c>
      <c r="N217" t="str">
        <f>TEXT(Table1[[#This Row],[Order Date]],"MMMM")</f>
        <v>June</v>
      </c>
      <c r="O217">
        <f>YEAR(Table1[[#This Row],[Order Date]])</f>
        <v>2025</v>
      </c>
      <c r="P217" t="str">
        <f>"Q"&amp;ROUNDUP(MONTH(Table1[[#This Row],[Order Date]])/3,0)</f>
        <v>Q2</v>
      </c>
      <c r="Q217" s="3">
        <f>Table1[[#This Row],[Profit]]/Table1[[#This Row],[Sales]]</f>
        <v>0.25084789577086131</v>
      </c>
      <c r="R217" t="str">
        <f>IF(Table1[[#This Row],[Sales]]&lt;1000,"LOW",IF(Table1[[#This Row],[Sales]]&lt;5000,"MEDIUM","HIGH"))</f>
        <v>MEDIUM</v>
      </c>
      <c r="S217" s="2">
        <f>Table1[[#This Row],[Discount]]/100</f>
        <v>0.05</v>
      </c>
    </row>
    <row r="218" spans="1:19" x14ac:dyDescent="0.3">
      <c r="A218">
        <v>10217</v>
      </c>
      <c r="B218" s="1" t="s">
        <v>41</v>
      </c>
      <c r="C218" t="s">
        <v>51</v>
      </c>
      <c r="D218" t="s">
        <v>66</v>
      </c>
      <c r="E218" t="s">
        <v>16</v>
      </c>
      <c r="F218" t="s">
        <v>25</v>
      </c>
      <c r="G218" t="s">
        <v>26</v>
      </c>
      <c r="H218" t="s">
        <v>27</v>
      </c>
      <c r="I218">
        <v>1</v>
      </c>
      <c r="J218">
        <v>4263</v>
      </c>
      <c r="K218">
        <v>974.83</v>
      </c>
      <c r="L218">
        <v>0</v>
      </c>
      <c r="M218" t="s">
        <v>28</v>
      </c>
      <c r="N218" t="str">
        <f>TEXT(Table1[[#This Row],[Order Date]],"MMMM")</f>
        <v>April</v>
      </c>
      <c r="O218">
        <f>YEAR(Table1[[#This Row],[Order Date]])</f>
        <v>2025</v>
      </c>
      <c r="P218" t="str">
        <f>"Q"&amp;ROUNDUP(MONTH(Table1[[#This Row],[Order Date]])/3,0)</f>
        <v>Q2</v>
      </c>
      <c r="Q218" s="3">
        <f>Table1[[#This Row],[Profit]]/Table1[[#This Row],[Sales]]</f>
        <v>0.22867229650480883</v>
      </c>
      <c r="R218" t="str">
        <f>IF(Table1[[#This Row],[Sales]]&lt;1000,"LOW",IF(Table1[[#This Row],[Sales]]&lt;5000,"MEDIUM","HIGH"))</f>
        <v>MEDIUM</v>
      </c>
      <c r="S218" s="2">
        <f>Table1[[#This Row],[Discount]]/100</f>
        <v>0</v>
      </c>
    </row>
    <row r="219" spans="1:19" x14ac:dyDescent="0.3">
      <c r="A219">
        <v>10218</v>
      </c>
      <c r="B219" s="1" t="s">
        <v>303</v>
      </c>
      <c r="C219" t="s">
        <v>337</v>
      </c>
      <c r="D219" t="s">
        <v>52</v>
      </c>
      <c r="E219" t="s">
        <v>53</v>
      </c>
      <c r="F219" t="s">
        <v>17</v>
      </c>
      <c r="G219" t="s">
        <v>43</v>
      </c>
      <c r="H219" t="s">
        <v>44</v>
      </c>
      <c r="I219">
        <v>2</v>
      </c>
      <c r="J219">
        <v>3892.8</v>
      </c>
      <c r="K219">
        <v>1017.72</v>
      </c>
      <c r="L219">
        <v>20</v>
      </c>
      <c r="M219" t="s">
        <v>28</v>
      </c>
      <c r="N219" t="str">
        <f>TEXT(Table1[[#This Row],[Order Date]],"MMMM")</f>
        <v>January</v>
      </c>
      <c r="O219">
        <f>YEAR(Table1[[#This Row],[Order Date]])</f>
        <v>2025</v>
      </c>
      <c r="P219" t="str">
        <f>"Q"&amp;ROUNDUP(MONTH(Table1[[#This Row],[Order Date]])/3,0)</f>
        <v>Q1</v>
      </c>
      <c r="Q219" s="3">
        <f>Table1[[#This Row],[Profit]]/Table1[[#This Row],[Sales]]</f>
        <v>0.26143649815043157</v>
      </c>
      <c r="R219" t="str">
        <f>IF(Table1[[#This Row],[Sales]]&lt;1000,"LOW",IF(Table1[[#This Row],[Sales]]&lt;5000,"MEDIUM","HIGH"))</f>
        <v>MEDIUM</v>
      </c>
      <c r="S219" s="2">
        <f>Table1[[#This Row],[Discount]]/100</f>
        <v>0.2</v>
      </c>
    </row>
    <row r="220" spans="1:19" x14ac:dyDescent="0.3">
      <c r="A220">
        <v>10219</v>
      </c>
      <c r="B220" s="1" t="s">
        <v>350</v>
      </c>
      <c r="C220" t="s">
        <v>324</v>
      </c>
      <c r="D220" t="s">
        <v>23</v>
      </c>
      <c r="E220" t="s">
        <v>24</v>
      </c>
      <c r="F220" t="s">
        <v>25</v>
      </c>
      <c r="G220" t="s">
        <v>26</v>
      </c>
      <c r="H220" t="s">
        <v>27</v>
      </c>
      <c r="I220">
        <v>1</v>
      </c>
      <c r="J220">
        <v>4964</v>
      </c>
      <c r="K220">
        <v>803.57</v>
      </c>
      <c r="L220">
        <v>0</v>
      </c>
      <c r="M220" t="s">
        <v>49</v>
      </c>
      <c r="N220" t="str">
        <f>TEXT(Table1[[#This Row],[Order Date]],"MMMM")</f>
        <v>August</v>
      </c>
      <c r="O220">
        <f>YEAR(Table1[[#This Row],[Order Date]])</f>
        <v>2025</v>
      </c>
      <c r="P220" t="str">
        <f>"Q"&amp;ROUNDUP(MONTH(Table1[[#This Row],[Order Date]])/3,0)</f>
        <v>Q3</v>
      </c>
      <c r="Q220" s="3">
        <f>Table1[[#This Row],[Profit]]/Table1[[#This Row],[Sales]]</f>
        <v>0.16187953263497182</v>
      </c>
      <c r="R220" t="str">
        <f>IF(Table1[[#This Row],[Sales]]&lt;1000,"LOW",IF(Table1[[#This Row],[Sales]]&lt;5000,"MEDIUM","HIGH"))</f>
        <v>MEDIUM</v>
      </c>
      <c r="S220" s="2">
        <f>Table1[[#This Row],[Discount]]/100</f>
        <v>0</v>
      </c>
    </row>
    <row r="221" spans="1:19" x14ac:dyDescent="0.3">
      <c r="A221">
        <v>10220</v>
      </c>
      <c r="B221" s="1" t="s">
        <v>351</v>
      </c>
      <c r="C221" t="s">
        <v>174</v>
      </c>
      <c r="D221" t="s">
        <v>66</v>
      </c>
      <c r="E221" t="s">
        <v>16</v>
      </c>
      <c r="F221" t="s">
        <v>25</v>
      </c>
      <c r="G221" t="s">
        <v>26</v>
      </c>
      <c r="H221" t="s">
        <v>27</v>
      </c>
      <c r="I221">
        <v>5</v>
      </c>
      <c r="J221">
        <v>17136</v>
      </c>
      <c r="K221">
        <v>4109.92</v>
      </c>
      <c r="L221">
        <v>10</v>
      </c>
      <c r="M221" t="s">
        <v>20</v>
      </c>
      <c r="N221" t="str">
        <f>TEXT(Table1[[#This Row],[Order Date]],"MMMM")</f>
        <v>May</v>
      </c>
      <c r="O221">
        <f>YEAR(Table1[[#This Row],[Order Date]])</f>
        <v>2025</v>
      </c>
      <c r="P221" t="str">
        <f>"Q"&amp;ROUNDUP(MONTH(Table1[[#This Row],[Order Date]])/3,0)</f>
        <v>Q2</v>
      </c>
      <c r="Q221" s="3">
        <f>Table1[[#This Row],[Profit]]/Table1[[#This Row],[Sales]]</f>
        <v>0.23984126984126986</v>
      </c>
      <c r="R221" t="str">
        <f>IF(Table1[[#This Row],[Sales]]&lt;1000,"LOW",IF(Table1[[#This Row],[Sales]]&lt;5000,"MEDIUM","HIGH"))</f>
        <v>HIGH</v>
      </c>
      <c r="S221" s="2">
        <f>Table1[[#This Row],[Discount]]/100</f>
        <v>0.1</v>
      </c>
    </row>
    <row r="222" spans="1:19" x14ac:dyDescent="0.3">
      <c r="A222">
        <v>10221</v>
      </c>
      <c r="B222" s="1" t="s">
        <v>62</v>
      </c>
      <c r="C222" t="s">
        <v>118</v>
      </c>
      <c r="D222" t="s">
        <v>36</v>
      </c>
      <c r="E222" t="s">
        <v>37</v>
      </c>
      <c r="F222" t="s">
        <v>25</v>
      </c>
      <c r="G222" t="s">
        <v>26</v>
      </c>
      <c r="H222" t="s">
        <v>27</v>
      </c>
      <c r="I222">
        <v>3</v>
      </c>
      <c r="J222">
        <v>6109.8</v>
      </c>
      <c r="K222">
        <v>1036.1600000000001</v>
      </c>
      <c r="L222">
        <v>15</v>
      </c>
      <c r="M222" t="s">
        <v>49</v>
      </c>
      <c r="N222" t="str">
        <f>TEXT(Table1[[#This Row],[Order Date]],"MMMM")</f>
        <v>May</v>
      </c>
      <c r="O222">
        <f>YEAR(Table1[[#This Row],[Order Date]])</f>
        <v>2025</v>
      </c>
      <c r="P222" t="str">
        <f>"Q"&amp;ROUNDUP(MONTH(Table1[[#This Row],[Order Date]])/3,0)</f>
        <v>Q2</v>
      </c>
      <c r="Q222" s="3">
        <f>Table1[[#This Row],[Profit]]/Table1[[#This Row],[Sales]]</f>
        <v>0.16958983927460802</v>
      </c>
      <c r="R222" t="str">
        <f>IF(Table1[[#This Row],[Sales]]&lt;1000,"LOW",IF(Table1[[#This Row],[Sales]]&lt;5000,"MEDIUM","HIGH"))</f>
        <v>HIGH</v>
      </c>
      <c r="S222" s="2">
        <f>Table1[[#This Row],[Discount]]/100</f>
        <v>0.15</v>
      </c>
    </row>
    <row r="223" spans="1:19" x14ac:dyDescent="0.3">
      <c r="A223">
        <v>10222</v>
      </c>
      <c r="B223" s="1" t="s">
        <v>352</v>
      </c>
      <c r="C223" t="s">
        <v>353</v>
      </c>
      <c r="D223" t="s">
        <v>23</v>
      </c>
      <c r="E223" t="s">
        <v>24</v>
      </c>
      <c r="F223" t="s">
        <v>31</v>
      </c>
      <c r="G223" t="s">
        <v>38</v>
      </c>
      <c r="H223" t="s">
        <v>39</v>
      </c>
      <c r="I223">
        <v>6</v>
      </c>
      <c r="J223">
        <v>16207.8</v>
      </c>
      <c r="K223">
        <v>3564.6</v>
      </c>
      <c r="L223">
        <v>15</v>
      </c>
      <c r="M223" t="s">
        <v>40</v>
      </c>
      <c r="N223" t="str">
        <f>TEXT(Table1[[#This Row],[Order Date]],"MMMM")</f>
        <v>April</v>
      </c>
      <c r="O223">
        <f>YEAR(Table1[[#This Row],[Order Date]])</f>
        <v>2025</v>
      </c>
      <c r="P223" t="str">
        <f>"Q"&amp;ROUNDUP(MONTH(Table1[[#This Row],[Order Date]])/3,0)</f>
        <v>Q2</v>
      </c>
      <c r="Q223" s="3">
        <f>Table1[[#This Row],[Profit]]/Table1[[#This Row],[Sales]]</f>
        <v>0.21993114426387295</v>
      </c>
      <c r="R223" t="str">
        <f>IF(Table1[[#This Row],[Sales]]&lt;1000,"LOW",IF(Table1[[#This Row],[Sales]]&lt;5000,"MEDIUM","HIGH"))</f>
        <v>HIGH</v>
      </c>
      <c r="S223" s="2">
        <f>Table1[[#This Row],[Discount]]/100</f>
        <v>0.15</v>
      </c>
    </row>
    <row r="224" spans="1:19" x14ac:dyDescent="0.3">
      <c r="A224">
        <v>10223</v>
      </c>
      <c r="B224" s="1" t="s">
        <v>354</v>
      </c>
      <c r="C224" t="s">
        <v>180</v>
      </c>
      <c r="D224" t="s">
        <v>36</v>
      </c>
      <c r="E224" t="s">
        <v>37</v>
      </c>
      <c r="F224" t="s">
        <v>25</v>
      </c>
      <c r="G224" t="s">
        <v>26</v>
      </c>
      <c r="H224" t="s">
        <v>71</v>
      </c>
      <c r="I224">
        <v>8</v>
      </c>
      <c r="J224">
        <v>4996.8</v>
      </c>
      <c r="K224">
        <v>456.48</v>
      </c>
      <c r="L224">
        <v>10</v>
      </c>
      <c r="M224" t="s">
        <v>40</v>
      </c>
      <c r="N224" t="str">
        <f>TEXT(Table1[[#This Row],[Order Date]],"MMMM")</f>
        <v>February</v>
      </c>
      <c r="O224">
        <f>YEAR(Table1[[#This Row],[Order Date]])</f>
        <v>2025</v>
      </c>
      <c r="P224" t="str">
        <f>"Q"&amp;ROUNDUP(MONTH(Table1[[#This Row],[Order Date]])/3,0)</f>
        <v>Q1</v>
      </c>
      <c r="Q224" s="3">
        <f>Table1[[#This Row],[Profit]]/Table1[[#This Row],[Sales]]</f>
        <v>9.1354466858789632E-2</v>
      </c>
      <c r="R224" t="str">
        <f>IF(Table1[[#This Row],[Sales]]&lt;1000,"LOW",IF(Table1[[#This Row],[Sales]]&lt;5000,"MEDIUM","HIGH"))</f>
        <v>MEDIUM</v>
      </c>
      <c r="S224" s="2">
        <f>Table1[[#This Row],[Discount]]/100</f>
        <v>0.1</v>
      </c>
    </row>
    <row r="225" spans="1:19" x14ac:dyDescent="0.3">
      <c r="A225">
        <v>10224</v>
      </c>
      <c r="B225" s="1" t="s">
        <v>155</v>
      </c>
      <c r="C225" t="s">
        <v>347</v>
      </c>
      <c r="D225" t="s">
        <v>52</v>
      </c>
      <c r="E225" t="s">
        <v>53</v>
      </c>
      <c r="F225" t="s">
        <v>17</v>
      </c>
      <c r="G225" t="s">
        <v>75</v>
      </c>
      <c r="H225" t="s">
        <v>116</v>
      </c>
      <c r="I225">
        <v>1</v>
      </c>
      <c r="J225">
        <v>818.55</v>
      </c>
      <c r="K225">
        <v>194.23</v>
      </c>
      <c r="L225">
        <v>15</v>
      </c>
      <c r="M225" t="s">
        <v>40</v>
      </c>
      <c r="N225" t="str">
        <f>TEXT(Table1[[#This Row],[Order Date]],"MMMM")</f>
        <v>May</v>
      </c>
      <c r="O225">
        <f>YEAR(Table1[[#This Row],[Order Date]])</f>
        <v>2025</v>
      </c>
      <c r="P225" t="str">
        <f>"Q"&amp;ROUNDUP(MONTH(Table1[[#This Row],[Order Date]])/3,0)</f>
        <v>Q2</v>
      </c>
      <c r="Q225" s="3">
        <f>Table1[[#This Row],[Profit]]/Table1[[#This Row],[Sales]]</f>
        <v>0.23728544377252458</v>
      </c>
      <c r="R225" t="str">
        <f>IF(Table1[[#This Row],[Sales]]&lt;1000,"LOW",IF(Table1[[#This Row],[Sales]]&lt;5000,"MEDIUM","HIGH"))</f>
        <v>LOW</v>
      </c>
      <c r="S225" s="2">
        <f>Table1[[#This Row],[Discount]]/100</f>
        <v>0.15</v>
      </c>
    </row>
    <row r="226" spans="1:19" x14ac:dyDescent="0.3">
      <c r="A226">
        <v>10225</v>
      </c>
      <c r="B226" s="1" t="s">
        <v>266</v>
      </c>
      <c r="C226" t="s">
        <v>233</v>
      </c>
      <c r="D226" t="s">
        <v>15</v>
      </c>
      <c r="E226" t="s">
        <v>16</v>
      </c>
      <c r="F226" t="s">
        <v>17</v>
      </c>
      <c r="G226" t="s">
        <v>75</v>
      </c>
      <c r="H226" t="s">
        <v>116</v>
      </c>
      <c r="I226">
        <v>6</v>
      </c>
      <c r="J226">
        <v>11367.9</v>
      </c>
      <c r="K226">
        <v>1073.6300000000001</v>
      </c>
      <c r="L226">
        <v>15</v>
      </c>
      <c r="M226" t="s">
        <v>20</v>
      </c>
      <c r="N226" t="str">
        <f>TEXT(Table1[[#This Row],[Order Date]],"MMMM")</f>
        <v>July</v>
      </c>
      <c r="O226">
        <f>YEAR(Table1[[#This Row],[Order Date]])</f>
        <v>2025</v>
      </c>
      <c r="P226" t="str">
        <f>"Q"&amp;ROUNDUP(MONTH(Table1[[#This Row],[Order Date]])/3,0)</f>
        <v>Q3</v>
      </c>
      <c r="Q226" s="3">
        <f>Table1[[#This Row],[Profit]]/Table1[[#This Row],[Sales]]</f>
        <v>9.4444004609470542E-2</v>
      </c>
      <c r="R226" t="str">
        <f>IF(Table1[[#This Row],[Sales]]&lt;1000,"LOW",IF(Table1[[#This Row],[Sales]]&lt;5000,"MEDIUM","HIGH"))</f>
        <v>HIGH</v>
      </c>
      <c r="S226" s="2">
        <f>Table1[[#This Row],[Discount]]/100</f>
        <v>0.15</v>
      </c>
    </row>
    <row r="227" spans="1:19" x14ac:dyDescent="0.3">
      <c r="A227">
        <v>10226</v>
      </c>
      <c r="B227" s="1" t="s">
        <v>355</v>
      </c>
      <c r="C227" t="s">
        <v>356</v>
      </c>
      <c r="D227" t="s">
        <v>23</v>
      </c>
      <c r="E227" t="s">
        <v>24</v>
      </c>
      <c r="F227" t="s">
        <v>31</v>
      </c>
      <c r="G227" t="s">
        <v>89</v>
      </c>
      <c r="H227" t="s">
        <v>90</v>
      </c>
      <c r="I227">
        <v>2</v>
      </c>
      <c r="J227">
        <v>4729.6000000000004</v>
      </c>
      <c r="K227">
        <v>909.05</v>
      </c>
      <c r="L227">
        <v>20</v>
      </c>
      <c r="M227" t="s">
        <v>20</v>
      </c>
      <c r="N227" t="str">
        <f>TEXT(Table1[[#This Row],[Order Date]],"MMMM")</f>
        <v>February</v>
      </c>
      <c r="O227">
        <f>YEAR(Table1[[#This Row],[Order Date]])</f>
        <v>2025</v>
      </c>
      <c r="P227" t="str">
        <f>"Q"&amp;ROUNDUP(MONTH(Table1[[#This Row],[Order Date]])/3,0)</f>
        <v>Q1</v>
      </c>
      <c r="Q227" s="3">
        <f>Table1[[#This Row],[Profit]]/Table1[[#This Row],[Sales]]</f>
        <v>0.19220441474966168</v>
      </c>
      <c r="R227" t="str">
        <f>IF(Table1[[#This Row],[Sales]]&lt;1000,"LOW",IF(Table1[[#This Row],[Sales]]&lt;5000,"MEDIUM","HIGH"))</f>
        <v>MEDIUM</v>
      </c>
      <c r="S227" s="2">
        <f>Table1[[#This Row],[Discount]]/100</f>
        <v>0.2</v>
      </c>
    </row>
    <row r="228" spans="1:19" x14ac:dyDescent="0.3">
      <c r="A228">
        <v>10227</v>
      </c>
      <c r="B228" s="1" t="s">
        <v>282</v>
      </c>
      <c r="C228" t="s">
        <v>357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7</v>
      </c>
      <c r="J228">
        <v>24015.599999999999</v>
      </c>
      <c r="K228">
        <v>4804.6000000000004</v>
      </c>
      <c r="L228">
        <v>10</v>
      </c>
      <c r="M228" t="s">
        <v>28</v>
      </c>
      <c r="N228" t="str">
        <f>TEXT(Table1[[#This Row],[Order Date]],"MMMM")</f>
        <v>May</v>
      </c>
      <c r="O228">
        <f>YEAR(Table1[[#This Row],[Order Date]])</f>
        <v>2025</v>
      </c>
      <c r="P228" t="str">
        <f>"Q"&amp;ROUNDUP(MONTH(Table1[[#This Row],[Order Date]])/3,0)</f>
        <v>Q2</v>
      </c>
      <c r="Q228" s="3">
        <f>Table1[[#This Row],[Profit]]/Table1[[#This Row],[Sales]]</f>
        <v>0.2000616266093706</v>
      </c>
      <c r="R228" t="str">
        <f>IF(Table1[[#This Row],[Sales]]&lt;1000,"LOW",IF(Table1[[#This Row],[Sales]]&lt;5000,"MEDIUM","HIGH"))</f>
        <v>HIGH</v>
      </c>
      <c r="S228" s="2">
        <f>Table1[[#This Row],[Discount]]/100</f>
        <v>0.1</v>
      </c>
    </row>
    <row r="229" spans="1:19" x14ac:dyDescent="0.3">
      <c r="A229">
        <v>10228</v>
      </c>
      <c r="B229" s="1" t="s">
        <v>320</v>
      </c>
      <c r="C229" t="s">
        <v>222</v>
      </c>
      <c r="D229" t="s">
        <v>56</v>
      </c>
      <c r="E229" t="s">
        <v>57</v>
      </c>
      <c r="F229" t="s">
        <v>31</v>
      </c>
      <c r="G229" t="s">
        <v>32</v>
      </c>
      <c r="H229" t="s">
        <v>33</v>
      </c>
      <c r="I229">
        <v>1</v>
      </c>
      <c r="J229">
        <v>3903.2</v>
      </c>
      <c r="K229">
        <v>936.66</v>
      </c>
      <c r="L229">
        <v>20</v>
      </c>
      <c r="M229" t="s">
        <v>28</v>
      </c>
      <c r="N229" t="str">
        <f>TEXT(Table1[[#This Row],[Order Date]],"MMMM")</f>
        <v>October</v>
      </c>
      <c r="O229">
        <f>YEAR(Table1[[#This Row],[Order Date]])</f>
        <v>2025</v>
      </c>
      <c r="P229" t="str">
        <f>"Q"&amp;ROUNDUP(MONTH(Table1[[#This Row],[Order Date]])/3,0)</f>
        <v>Q4</v>
      </c>
      <c r="Q229" s="3">
        <f>Table1[[#This Row],[Profit]]/Table1[[#This Row],[Sales]]</f>
        <v>0.23997233039557286</v>
      </c>
      <c r="R229" t="str">
        <f>IF(Table1[[#This Row],[Sales]]&lt;1000,"LOW",IF(Table1[[#This Row],[Sales]]&lt;5000,"MEDIUM","HIGH"))</f>
        <v>MEDIUM</v>
      </c>
      <c r="S229" s="2">
        <f>Table1[[#This Row],[Discount]]/100</f>
        <v>0.2</v>
      </c>
    </row>
    <row r="230" spans="1:19" x14ac:dyDescent="0.3">
      <c r="A230">
        <v>10229</v>
      </c>
      <c r="B230" s="1" t="s">
        <v>173</v>
      </c>
      <c r="C230" t="s">
        <v>182</v>
      </c>
      <c r="D230" t="s">
        <v>60</v>
      </c>
      <c r="E230" t="s">
        <v>61</v>
      </c>
      <c r="F230" t="s">
        <v>17</v>
      </c>
      <c r="G230" t="s">
        <v>18</v>
      </c>
      <c r="H230" t="s">
        <v>19</v>
      </c>
      <c r="I230">
        <v>8</v>
      </c>
      <c r="J230">
        <v>22280</v>
      </c>
      <c r="K230">
        <v>6396.48</v>
      </c>
      <c r="L230">
        <v>0</v>
      </c>
      <c r="M230" t="s">
        <v>49</v>
      </c>
      <c r="N230" t="str">
        <f>TEXT(Table1[[#This Row],[Order Date]],"MMMM")</f>
        <v>August</v>
      </c>
      <c r="O230">
        <f>YEAR(Table1[[#This Row],[Order Date]])</f>
        <v>2025</v>
      </c>
      <c r="P230" t="str">
        <f>"Q"&amp;ROUNDUP(MONTH(Table1[[#This Row],[Order Date]])/3,0)</f>
        <v>Q3</v>
      </c>
      <c r="Q230" s="3">
        <f>Table1[[#This Row],[Profit]]/Table1[[#This Row],[Sales]]</f>
        <v>0.2870951526032316</v>
      </c>
      <c r="R230" t="str">
        <f>IF(Table1[[#This Row],[Sales]]&lt;1000,"LOW",IF(Table1[[#This Row],[Sales]]&lt;5000,"MEDIUM","HIGH"))</f>
        <v>HIGH</v>
      </c>
      <c r="S230" s="2">
        <f>Table1[[#This Row],[Discount]]/100</f>
        <v>0</v>
      </c>
    </row>
    <row r="231" spans="1:19" x14ac:dyDescent="0.3">
      <c r="A231">
        <v>10230</v>
      </c>
      <c r="B231" s="1" t="s">
        <v>211</v>
      </c>
      <c r="C231" t="s">
        <v>357</v>
      </c>
      <c r="D231" t="s">
        <v>74</v>
      </c>
      <c r="E231" t="s">
        <v>74</v>
      </c>
      <c r="F231" t="s">
        <v>31</v>
      </c>
      <c r="G231" t="s">
        <v>89</v>
      </c>
      <c r="H231" t="s">
        <v>90</v>
      </c>
      <c r="I231">
        <v>7</v>
      </c>
      <c r="J231">
        <v>5503.75</v>
      </c>
      <c r="K231">
        <v>630.33000000000004</v>
      </c>
      <c r="L231">
        <v>15</v>
      </c>
      <c r="M231" t="s">
        <v>45</v>
      </c>
      <c r="N231" t="str">
        <f>TEXT(Table1[[#This Row],[Order Date]],"MMMM")</f>
        <v>March</v>
      </c>
      <c r="O231">
        <f>YEAR(Table1[[#This Row],[Order Date]])</f>
        <v>2025</v>
      </c>
      <c r="P231" t="str">
        <f>"Q"&amp;ROUNDUP(MONTH(Table1[[#This Row],[Order Date]])/3,0)</f>
        <v>Q1</v>
      </c>
      <c r="Q231" s="3">
        <f>Table1[[#This Row],[Profit]]/Table1[[#This Row],[Sales]]</f>
        <v>0.1145273677038383</v>
      </c>
      <c r="R231" t="str">
        <f>IF(Table1[[#This Row],[Sales]]&lt;1000,"LOW",IF(Table1[[#This Row],[Sales]]&lt;5000,"MEDIUM","HIGH"))</f>
        <v>HIGH</v>
      </c>
      <c r="S231" s="2">
        <f>Table1[[#This Row],[Discount]]/100</f>
        <v>0.15</v>
      </c>
    </row>
    <row r="232" spans="1:19" x14ac:dyDescent="0.3">
      <c r="A232">
        <v>10231</v>
      </c>
      <c r="B232" s="1" t="s">
        <v>131</v>
      </c>
      <c r="C232" t="s">
        <v>63</v>
      </c>
      <c r="D232" t="s">
        <v>56</v>
      </c>
      <c r="E232" t="s">
        <v>57</v>
      </c>
      <c r="F232" t="s">
        <v>17</v>
      </c>
      <c r="G232" t="s">
        <v>18</v>
      </c>
      <c r="H232" t="s">
        <v>19</v>
      </c>
      <c r="I232">
        <v>2</v>
      </c>
      <c r="J232">
        <v>5710</v>
      </c>
      <c r="K232">
        <v>1451.49</v>
      </c>
      <c r="L232">
        <v>0</v>
      </c>
      <c r="M232" t="s">
        <v>20</v>
      </c>
      <c r="N232" t="str">
        <f>TEXT(Table1[[#This Row],[Order Date]],"MMMM")</f>
        <v>January</v>
      </c>
      <c r="O232">
        <f>YEAR(Table1[[#This Row],[Order Date]])</f>
        <v>2025</v>
      </c>
      <c r="P232" t="str">
        <f>"Q"&amp;ROUNDUP(MONTH(Table1[[#This Row],[Order Date]])/3,0)</f>
        <v>Q1</v>
      </c>
      <c r="Q232" s="3">
        <f>Table1[[#This Row],[Profit]]/Table1[[#This Row],[Sales]]</f>
        <v>0.25420140105078809</v>
      </c>
      <c r="R232" t="str">
        <f>IF(Table1[[#This Row],[Sales]]&lt;1000,"LOW",IF(Table1[[#This Row],[Sales]]&lt;5000,"MEDIUM","HIGH"))</f>
        <v>HIGH</v>
      </c>
      <c r="S232" s="2">
        <f>Table1[[#This Row],[Discount]]/100</f>
        <v>0</v>
      </c>
    </row>
    <row r="233" spans="1:19" x14ac:dyDescent="0.3">
      <c r="A233">
        <v>10232</v>
      </c>
      <c r="B233" s="1" t="s">
        <v>358</v>
      </c>
      <c r="C233" t="s">
        <v>107</v>
      </c>
      <c r="D233" t="s">
        <v>66</v>
      </c>
      <c r="E233" t="s">
        <v>16</v>
      </c>
      <c r="F233" t="s">
        <v>25</v>
      </c>
      <c r="G233" t="s">
        <v>26</v>
      </c>
      <c r="H233" t="s">
        <v>27</v>
      </c>
      <c r="I233">
        <v>3</v>
      </c>
      <c r="J233">
        <v>4225.3500000000004</v>
      </c>
      <c r="K233">
        <v>411.02</v>
      </c>
      <c r="L233">
        <v>15</v>
      </c>
      <c r="M233" t="s">
        <v>40</v>
      </c>
      <c r="N233" t="str">
        <f>TEXT(Table1[[#This Row],[Order Date]],"MMMM")</f>
        <v>October</v>
      </c>
      <c r="O233">
        <f>YEAR(Table1[[#This Row],[Order Date]])</f>
        <v>2025</v>
      </c>
      <c r="P233" t="str">
        <f>"Q"&amp;ROUNDUP(MONTH(Table1[[#This Row],[Order Date]])/3,0)</f>
        <v>Q4</v>
      </c>
      <c r="Q233" s="3">
        <f>Table1[[#This Row],[Profit]]/Table1[[#This Row],[Sales]]</f>
        <v>9.7274781970724311E-2</v>
      </c>
      <c r="R233" t="str">
        <f>IF(Table1[[#This Row],[Sales]]&lt;1000,"LOW",IF(Table1[[#This Row],[Sales]]&lt;5000,"MEDIUM","HIGH"))</f>
        <v>MEDIUM</v>
      </c>
      <c r="S233" s="2">
        <f>Table1[[#This Row],[Discount]]/100</f>
        <v>0.15</v>
      </c>
    </row>
    <row r="234" spans="1:19" x14ac:dyDescent="0.3">
      <c r="A234">
        <v>10233</v>
      </c>
      <c r="B234" s="1" t="s">
        <v>155</v>
      </c>
      <c r="C234" t="s">
        <v>359</v>
      </c>
      <c r="D234" t="s">
        <v>60</v>
      </c>
      <c r="E234" t="s">
        <v>61</v>
      </c>
      <c r="F234" t="s">
        <v>25</v>
      </c>
      <c r="G234" t="s">
        <v>26</v>
      </c>
      <c r="H234" t="s">
        <v>48</v>
      </c>
      <c r="I234">
        <v>8</v>
      </c>
      <c r="J234">
        <v>20236.8</v>
      </c>
      <c r="K234">
        <v>4286.7700000000004</v>
      </c>
      <c r="L234">
        <v>20</v>
      </c>
      <c r="M234" t="s">
        <v>45</v>
      </c>
      <c r="N234" t="str">
        <f>TEXT(Table1[[#This Row],[Order Date]],"MMMM")</f>
        <v>May</v>
      </c>
      <c r="O234">
        <f>YEAR(Table1[[#This Row],[Order Date]])</f>
        <v>2025</v>
      </c>
      <c r="P234" t="str">
        <f>"Q"&amp;ROUNDUP(MONTH(Table1[[#This Row],[Order Date]])/3,0)</f>
        <v>Q2</v>
      </c>
      <c r="Q234" s="3">
        <f>Table1[[#This Row],[Profit]]/Table1[[#This Row],[Sales]]</f>
        <v>0.21183042773561039</v>
      </c>
      <c r="R234" t="str">
        <f>IF(Table1[[#This Row],[Sales]]&lt;1000,"LOW",IF(Table1[[#This Row],[Sales]]&lt;5000,"MEDIUM","HIGH"))</f>
        <v>HIGH</v>
      </c>
      <c r="S234" s="2">
        <f>Table1[[#This Row],[Discount]]/100</f>
        <v>0.2</v>
      </c>
    </row>
    <row r="235" spans="1:19" x14ac:dyDescent="0.3">
      <c r="A235">
        <v>10234</v>
      </c>
      <c r="B235" s="1" t="s">
        <v>360</v>
      </c>
      <c r="C235" t="s">
        <v>327</v>
      </c>
      <c r="D235" t="s">
        <v>23</v>
      </c>
      <c r="E235" t="s">
        <v>24</v>
      </c>
      <c r="F235" t="s">
        <v>31</v>
      </c>
      <c r="G235" t="s">
        <v>89</v>
      </c>
      <c r="H235" t="s">
        <v>90</v>
      </c>
      <c r="I235">
        <v>8</v>
      </c>
      <c r="J235">
        <v>18876.8</v>
      </c>
      <c r="K235">
        <v>4710.8100000000004</v>
      </c>
      <c r="L235">
        <v>15</v>
      </c>
      <c r="M235" t="s">
        <v>28</v>
      </c>
      <c r="N235" t="str">
        <f>TEXT(Table1[[#This Row],[Order Date]],"MMMM")</f>
        <v>February</v>
      </c>
      <c r="O235">
        <f>YEAR(Table1[[#This Row],[Order Date]])</f>
        <v>2025</v>
      </c>
      <c r="P235" t="str">
        <f>"Q"&amp;ROUNDUP(MONTH(Table1[[#This Row],[Order Date]])/3,0)</f>
        <v>Q1</v>
      </c>
      <c r="Q235" s="3">
        <f>Table1[[#This Row],[Profit]]/Table1[[#This Row],[Sales]]</f>
        <v>0.24955553907441944</v>
      </c>
      <c r="R235" t="str">
        <f>IF(Table1[[#This Row],[Sales]]&lt;1000,"LOW",IF(Table1[[#This Row],[Sales]]&lt;5000,"MEDIUM","HIGH"))</f>
        <v>HIGH</v>
      </c>
      <c r="S235" s="2">
        <f>Table1[[#This Row],[Discount]]/100</f>
        <v>0.15</v>
      </c>
    </row>
    <row r="236" spans="1:19" x14ac:dyDescent="0.3">
      <c r="A236">
        <v>10235</v>
      </c>
      <c r="B236" s="1" t="s">
        <v>29</v>
      </c>
      <c r="C236" t="s">
        <v>361</v>
      </c>
      <c r="D236" t="s">
        <v>23</v>
      </c>
      <c r="E236" t="s">
        <v>24</v>
      </c>
      <c r="F236" t="s">
        <v>25</v>
      </c>
      <c r="G236" t="s">
        <v>26</v>
      </c>
      <c r="H236" t="s">
        <v>71</v>
      </c>
      <c r="I236">
        <v>4</v>
      </c>
      <c r="J236">
        <v>5943.2</v>
      </c>
      <c r="K236">
        <v>1200.18</v>
      </c>
      <c r="L236">
        <v>15</v>
      </c>
      <c r="M236" t="s">
        <v>49</v>
      </c>
      <c r="N236" t="str">
        <f>TEXT(Table1[[#This Row],[Order Date]],"MMMM")</f>
        <v>July</v>
      </c>
      <c r="O236">
        <f>YEAR(Table1[[#This Row],[Order Date]])</f>
        <v>2025</v>
      </c>
      <c r="P236" t="str">
        <f>"Q"&amp;ROUNDUP(MONTH(Table1[[#This Row],[Order Date]])/3,0)</f>
        <v>Q3</v>
      </c>
      <c r="Q236" s="3">
        <f>Table1[[#This Row],[Profit]]/Table1[[#This Row],[Sales]]</f>
        <v>0.20194171490106341</v>
      </c>
      <c r="R236" t="str">
        <f>IF(Table1[[#This Row],[Sales]]&lt;1000,"LOW",IF(Table1[[#This Row],[Sales]]&lt;5000,"MEDIUM","HIGH"))</f>
        <v>HIGH</v>
      </c>
      <c r="S236" s="2">
        <f>Table1[[#This Row],[Discount]]/100</f>
        <v>0.15</v>
      </c>
    </row>
    <row r="237" spans="1:19" x14ac:dyDescent="0.3">
      <c r="A237">
        <v>10236</v>
      </c>
      <c r="B237" s="1" t="s">
        <v>362</v>
      </c>
      <c r="C237" t="s">
        <v>317</v>
      </c>
      <c r="D237" t="s">
        <v>74</v>
      </c>
      <c r="E237" t="s">
        <v>74</v>
      </c>
      <c r="F237" t="s">
        <v>31</v>
      </c>
      <c r="G237" t="s">
        <v>89</v>
      </c>
      <c r="H237" t="s">
        <v>90</v>
      </c>
      <c r="I237">
        <v>7</v>
      </c>
      <c r="J237">
        <v>21742</v>
      </c>
      <c r="K237">
        <v>2975.61</v>
      </c>
      <c r="L237">
        <v>0</v>
      </c>
      <c r="M237" t="s">
        <v>28</v>
      </c>
      <c r="N237" t="str">
        <f>TEXT(Table1[[#This Row],[Order Date]],"MMMM")</f>
        <v>October</v>
      </c>
      <c r="O237">
        <f>YEAR(Table1[[#This Row],[Order Date]])</f>
        <v>2025</v>
      </c>
      <c r="P237" t="str">
        <f>"Q"&amp;ROUNDUP(MONTH(Table1[[#This Row],[Order Date]])/3,0)</f>
        <v>Q4</v>
      </c>
      <c r="Q237" s="3">
        <f>Table1[[#This Row],[Profit]]/Table1[[#This Row],[Sales]]</f>
        <v>0.13685999448072855</v>
      </c>
      <c r="R237" t="str">
        <f>IF(Table1[[#This Row],[Sales]]&lt;1000,"LOW",IF(Table1[[#This Row],[Sales]]&lt;5000,"MEDIUM","HIGH"))</f>
        <v>HIGH</v>
      </c>
      <c r="S237" s="2">
        <f>Table1[[#This Row],[Discount]]/100</f>
        <v>0</v>
      </c>
    </row>
    <row r="238" spans="1:19" x14ac:dyDescent="0.3">
      <c r="A238">
        <v>10237</v>
      </c>
      <c r="B238" s="1" t="s">
        <v>145</v>
      </c>
      <c r="C238" t="s">
        <v>107</v>
      </c>
      <c r="D238" t="s">
        <v>52</v>
      </c>
      <c r="E238" t="s">
        <v>53</v>
      </c>
      <c r="F238" t="s">
        <v>31</v>
      </c>
      <c r="G238" t="s">
        <v>124</v>
      </c>
      <c r="H238" t="s">
        <v>125</v>
      </c>
      <c r="I238">
        <v>3</v>
      </c>
      <c r="J238">
        <v>5373</v>
      </c>
      <c r="K238">
        <v>1394.21</v>
      </c>
      <c r="L238">
        <v>0</v>
      </c>
      <c r="M238" t="s">
        <v>49</v>
      </c>
      <c r="N238" t="str">
        <f>TEXT(Table1[[#This Row],[Order Date]],"MMMM")</f>
        <v>July</v>
      </c>
      <c r="O238">
        <f>YEAR(Table1[[#This Row],[Order Date]])</f>
        <v>2025</v>
      </c>
      <c r="P238" t="str">
        <f>"Q"&amp;ROUNDUP(MONTH(Table1[[#This Row],[Order Date]])/3,0)</f>
        <v>Q3</v>
      </c>
      <c r="Q238" s="3">
        <f>Table1[[#This Row],[Profit]]/Table1[[#This Row],[Sales]]</f>
        <v>0.25948445933370556</v>
      </c>
      <c r="R238" t="str">
        <f>IF(Table1[[#This Row],[Sales]]&lt;1000,"LOW",IF(Table1[[#This Row],[Sales]]&lt;5000,"MEDIUM","HIGH"))</f>
        <v>HIGH</v>
      </c>
      <c r="S238" s="2">
        <f>Table1[[#This Row],[Discount]]/100</f>
        <v>0</v>
      </c>
    </row>
    <row r="239" spans="1:19" x14ac:dyDescent="0.3">
      <c r="A239">
        <v>10238</v>
      </c>
      <c r="B239" s="1" t="s">
        <v>159</v>
      </c>
      <c r="C239" t="s">
        <v>118</v>
      </c>
      <c r="D239" t="s">
        <v>56</v>
      </c>
      <c r="E239" t="s">
        <v>57</v>
      </c>
      <c r="F239" t="s">
        <v>25</v>
      </c>
      <c r="G239" t="s">
        <v>26</v>
      </c>
      <c r="H239" t="s">
        <v>27</v>
      </c>
      <c r="I239">
        <v>4</v>
      </c>
      <c r="J239">
        <v>12308.2</v>
      </c>
      <c r="K239">
        <v>1607.15</v>
      </c>
      <c r="L239">
        <v>5</v>
      </c>
      <c r="M239" t="s">
        <v>20</v>
      </c>
      <c r="N239" t="str">
        <f>TEXT(Table1[[#This Row],[Order Date]],"MMMM")</f>
        <v>May</v>
      </c>
      <c r="O239">
        <f>YEAR(Table1[[#This Row],[Order Date]])</f>
        <v>2025</v>
      </c>
      <c r="P239" t="str">
        <f>"Q"&amp;ROUNDUP(MONTH(Table1[[#This Row],[Order Date]])/3,0)</f>
        <v>Q2</v>
      </c>
      <c r="Q239" s="3">
        <f>Table1[[#This Row],[Profit]]/Table1[[#This Row],[Sales]]</f>
        <v>0.13057555125851059</v>
      </c>
      <c r="R239" t="str">
        <f>IF(Table1[[#This Row],[Sales]]&lt;1000,"LOW",IF(Table1[[#This Row],[Sales]]&lt;5000,"MEDIUM","HIGH"))</f>
        <v>HIGH</v>
      </c>
      <c r="S239" s="2">
        <f>Table1[[#This Row],[Discount]]/100</f>
        <v>0.05</v>
      </c>
    </row>
    <row r="240" spans="1:19" x14ac:dyDescent="0.3">
      <c r="A240">
        <v>10239</v>
      </c>
      <c r="B240" s="1" t="s">
        <v>350</v>
      </c>
      <c r="C240" t="s">
        <v>158</v>
      </c>
      <c r="D240" t="s">
        <v>56</v>
      </c>
      <c r="E240" t="s">
        <v>57</v>
      </c>
      <c r="F240" t="s">
        <v>17</v>
      </c>
      <c r="G240" t="s">
        <v>75</v>
      </c>
      <c r="H240" t="s">
        <v>116</v>
      </c>
      <c r="I240">
        <v>1</v>
      </c>
      <c r="J240">
        <v>1180.8</v>
      </c>
      <c r="K240">
        <v>187.33</v>
      </c>
      <c r="L240">
        <v>10</v>
      </c>
      <c r="M240" t="s">
        <v>45</v>
      </c>
      <c r="N240" t="str">
        <f>TEXT(Table1[[#This Row],[Order Date]],"MMMM")</f>
        <v>August</v>
      </c>
      <c r="O240">
        <f>YEAR(Table1[[#This Row],[Order Date]])</f>
        <v>2025</v>
      </c>
      <c r="P240" t="str">
        <f>"Q"&amp;ROUNDUP(MONTH(Table1[[#This Row],[Order Date]])/3,0)</f>
        <v>Q3</v>
      </c>
      <c r="Q240" s="3">
        <f>Table1[[#This Row],[Profit]]/Table1[[#This Row],[Sales]]</f>
        <v>0.15864668021680217</v>
      </c>
      <c r="R240" t="str">
        <f>IF(Table1[[#This Row],[Sales]]&lt;1000,"LOW",IF(Table1[[#This Row],[Sales]]&lt;5000,"MEDIUM","HIGH"))</f>
        <v>MEDIUM</v>
      </c>
      <c r="S240" s="2">
        <f>Table1[[#This Row],[Discount]]/100</f>
        <v>0.1</v>
      </c>
    </row>
    <row r="241" spans="1:19" x14ac:dyDescent="0.3">
      <c r="A241">
        <v>10240</v>
      </c>
      <c r="B241" s="1" t="s">
        <v>363</v>
      </c>
      <c r="C241" t="s">
        <v>364</v>
      </c>
      <c r="D241" t="s">
        <v>36</v>
      </c>
      <c r="E241" t="s">
        <v>37</v>
      </c>
      <c r="F241" t="s">
        <v>31</v>
      </c>
      <c r="G241" t="s">
        <v>38</v>
      </c>
      <c r="H241" t="s">
        <v>39</v>
      </c>
      <c r="I241">
        <v>7</v>
      </c>
      <c r="J241">
        <v>15022.35</v>
      </c>
      <c r="K241">
        <v>3520.54</v>
      </c>
      <c r="L241">
        <v>5</v>
      </c>
      <c r="M241" t="s">
        <v>28</v>
      </c>
      <c r="N241" t="str">
        <f>TEXT(Table1[[#This Row],[Order Date]],"MMMM")</f>
        <v>March</v>
      </c>
      <c r="O241">
        <f>YEAR(Table1[[#This Row],[Order Date]])</f>
        <v>2025</v>
      </c>
      <c r="P241" t="str">
        <f>"Q"&amp;ROUNDUP(MONTH(Table1[[#This Row],[Order Date]])/3,0)</f>
        <v>Q1</v>
      </c>
      <c r="Q241" s="3">
        <f>Table1[[#This Row],[Profit]]/Table1[[#This Row],[Sales]]</f>
        <v>0.23435347998149422</v>
      </c>
      <c r="R241" t="str">
        <f>IF(Table1[[#This Row],[Sales]]&lt;1000,"LOW",IF(Table1[[#This Row],[Sales]]&lt;5000,"MEDIUM","HIGH"))</f>
        <v>HIGH</v>
      </c>
      <c r="S241" s="2">
        <f>Table1[[#This Row],[Discount]]/100</f>
        <v>0.05</v>
      </c>
    </row>
    <row r="242" spans="1:19" x14ac:dyDescent="0.3">
      <c r="A242">
        <v>10241</v>
      </c>
      <c r="B242" s="1" t="s">
        <v>365</v>
      </c>
      <c r="C242" t="s">
        <v>251</v>
      </c>
      <c r="D242" t="s">
        <v>56</v>
      </c>
      <c r="E242" t="s">
        <v>57</v>
      </c>
      <c r="F242" t="s">
        <v>25</v>
      </c>
      <c r="G242" t="s">
        <v>95</v>
      </c>
      <c r="H242" t="s">
        <v>96</v>
      </c>
      <c r="I242">
        <v>6</v>
      </c>
      <c r="J242">
        <v>15462</v>
      </c>
      <c r="K242">
        <v>1369.11</v>
      </c>
      <c r="L242">
        <v>0</v>
      </c>
      <c r="M242" t="s">
        <v>45</v>
      </c>
      <c r="N242" t="str">
        <f>TEXT(Table1[[#This Row],[Order Date]],"MMMM")</f>
        <v>October</v>
      </c>
      <c r="O242">
        <f>YEAR(Table1[[#This Row],[Order Date]])</f>
        <v>2025</v>
      </c>
      <c r="P242" t="str">
        <f>"Q"&amp;ROUNDUP(MONTH(Table1[[#This Row],[Order Date]])/3,0)</f>
        <v>Q4</v>
      </c>
      <c r="Q242" s="3">
        <f>Table1[[#This Row],[Profit]]/Table1[[#This Row],[Sales]]</f>
        <v>8.8546759798214969E-2</v>
      </c>
      <c r="R242" t="str">
        <f>IF(Table1[[#This Row],[Sales]]&lt;1000,"LOW",IF(Table1[[#This Row],[Sales]]&lt;5000,"MEDIUM","HIGH"))</f>
        <v>HIGH</v>
      </c>
      <c r="S242" s="2">
        <f>Table1[[#This Row],[Discount]]/100</f>
        <v>0</v>
      </c>
    </row>
    <row r="243" spans="1:19" x14ac:dyDescent="0.3">
      <c r="A243">
        <v>10242</v>
      </c>
      <c r="B243" s="1" t="s">
        <v>365</v>
      </c>
      <c r="C243" t="s">
        <v>366</v>
      </c>
      <c r="D243" t="s">
        <v>52</v>
      </c>
      <c r="E243" t="s">
        <v>53</v>
      </c>
      <c r="F243" t="s">
        <v>31</v>
      </c>
      <c r="G243" t="s">
        <v>38</v>
      </c>
      <c r="H243" t="s">
        <v>39</v>
      </c>
      <c r="I243">
        <v>5</v>
      </c>
      <c r="J243">
        <v>2889</v>
      </c>
      <c r="K243">
        <v>584.23</v>
      </c>
      <c r="L243">
        <v>10</v>
      </c>
      <c r="M243" t="s">
        <v>40</v>
      </c>
      <c r="N243" t="str">
        <f>TEXT(Table1[[#This Row],[Order Date]],"MMMM")</f>
        <v>October</v>
      </c>
      <c r="O243">
        <f>YEAR(Table1[[#This Row],[Order Date]])</f>
        <v>2025</v>
      </c>
      <c r="P243" t="str">
        <f>"Q"&amp;ROUNDUP(MONTH(Table1[[#This Row],[Order Date]])/3,0)</f>
        <v>Q4</v>
      </c>
      <c r="Q243" s="3">
        <f>Table1[[#This Row],[Profit]]/Table1[[#This Row],[Sales]]</f>
        <v>0.2022256836275528</v>
      </c>
      <c r="R243" t="str">
        <f>IF(Table1[[#This Row],[Sales]]&lt;1000,"LOW",IF(Table1[[#This Row],[Sales]]&lt;5000,"MEDIUM","HIGH"))</f>
        <v>MEDIUM</v>
      </c>
      <c r="S243" s="2">
        <f>Table1[[#This Row],[Discount]]/100</f>
        <v>0.1</v>
      </c>
    </row>
    <row r="244" spans="1:19" x14ac:dyDescent="0.3">
      <c r="A244">
        <v>10243</v>
      </c>
      <c r="B244" s="1" t="s">
        <v>67</v>
      </c>
      <c r="C244" t="s">
        <v>367</v>
      </c>
      <c r="D244" t="s">
        <v>60</v>
      </c>
      <c r="E244" t="s">
        <v>61</v>
      </c>
      <c r="F244" t="s">
        <v>17</v>
      </c>
      <c r="G244" t="s">
        <v>75</v>
      </c>
      <c r="H244" t="s">
        <v>116</v>
      </c>
      <c r="I244">
        <v>3</v>
      </c>
      <c r="J244">
        <v>10220.1</v>
      </c>
      <c r="K244">
        <v>1304.46</v>
      </c>
      <c r="L244">
        <v>5</v>
      </c>
      <c r="M244" t="s">
        <v>20</v>
      </c>
      <c r="N244" t="str">
        <f>TEXT(Table1[[#This Row],[Order Date]],"MMMM")</f>
        <v>October</v>
      </c>
      <c r="O244">
        <f>YEAR(Table1[[#This Row],[Order Date]])</f>
        <v>2025</v>
      </c>
      <c r="P244" t="str">
        <f>"Q"&amp;ROUNDUP(MONTH(Table1[[#This Row],[Order Date]])/3,0)</f>
        <v>Q4</v>
      </c>
      <c r="Q244" s="3">
        <f>Table1[[#This Row],[Profit]]/Table1[[#This Row],[Sales]]</f>
        <v>0.12763671588340622</v>
      </c>
      <c r="R244" t="str">
        <f>IF(Table1[[#This Row],[Sales]]&lt;1000,"LOW",IF(Table1[[#This Row],[Sales]]&lt;5000,"MEDIUM","HIGH"))</f>
        <v>HIGH</v>
      </c>
      <c r="S244" s="2">
        <f>Table1[[#This Row],[Discount]]/100</f>
        <v>0.05</v>
      </c>
    </row>
    <row r="245" spans="1:19" x14ac:dyDescent="0.3">
      <c r="A245">
        <v>10244</v>
      </c>
      <c r="B245" s="1" t="s">
        <v>368</v>
      </c>
      <c r="C245" t="s">
        <v>152</v>
      </c>
      <c r="D245" t="s">
        <v>23</v>
      </c>
      <c r="E245" t="s">
        <v>24</v>
      </c>
      <c r="F245" t="s">
        <v>31</v>
      </c>
      <c r="G245" t="s">
        <v>32</v>
      </c>
      <c r="H245" t="s">
        <v>33</v>
      </c>
      <c r="I245">
        <v>5</v>
      </c>
      <c r="J245">
        <v>4833</v>
      </c>
      <c r="K245">
        <v>1430.52</v>
      </c>
      <c r="L245">
        <v>10</v>
      </c>
      <c r="M245" t="s">
        <v>28</v>
      </c>
      <c r="N245" t="str">
        <f>TEXT(Table1[[#This Row],[Order Date]],"MMMM")</f>
        <v>December</v>
      </c>
      <c r="O245">
        <f>YEAR(Table1[[#This Row],[Order Date]])</f>
        <v>2025</v>
      </c>
      <c r="P245" t="str">
        <f>"Q"&amp;ROUNDUP(MONTH(Table1[[#This Row],[Order Date]])/3,0)</f>
        <v>Q4</v>
      </c>
      <c r="Q245" s="3">
        <f>Table1[[#This Row],[Profit]]/Table1[[#This Row],[Sales]]</f>
        <v>0.29599006828057106</v>
      </c>
      <c r="R245" t="str">
        <f>IF(Table1[[#This Row],[Sales]]&lt;1000,"LOW",IF(Table1[[#This Row],[Sales]]&lt;5000,"MEDIUM","HIGH"))</f>
        <v>MEDIUM</v>
      </c>
      <c r="S245" s="2">
        <f>Table1[[#This Row],[Discount]]/100</f>
        <v>0.1</v>
      </c>
    </row>
    <row r="246" spans="1:19" x14ac:dyDescent="0.3">
      <c r="A246">
        <v>10245</v>
      </c>
      <c r="B246" s="1" t="s">
        <v>270</v>
      </c>
      <c r="C246" t="s">
        <v>275</v>
      </c>
      <c r="D246" t="s">
        <v>60</v>
      </c>
      <c r="E246" t="s">
        <v>61</v>
      </c>
      <c r="F246" t="s">
        <v>25</v>
      </c>
      <c r="G246" t="s">
        <v>95</v>
      </c>
      <c r="H246" t="s">
        <v>96</v>
      </c>
      <c r="I246">
        <v>4</v>
      </c>
      <c r="J246">
        <v>5449.2</v>
      </c>
      <c r="K246">
        <v>722.26</v>
      </c>
      <c r="L246">
        <v>5</v>
      </c>
      <c r="M246" t="s">
        <v>40</v>
      </c>
      <c r="N246" t="str">
        <f>TEXT(Table1[[#This Row],[Order Date]],"MMMM")</f>
        <v>September</v>
      </c>
      <c r="O246">
        <f>YEAR(Table1[[#This Row],[Order Date]])</f>
        <v>2025</v>
      </c>
      <c r="P246" t="str">
        <f>"Q"&amp;ROUNDUP(MONTH(Table1[[#This Row],[Order Date]])/3,0)</f>
        <v>Q3</v>
      </c>
      <c r="Q246" s="3">
        <f>Table1[[#This Row],[Profit]]/Table1[[#This Row],[Sales]]</f>
        <v>0.1325442266754753</v>
      </c>
      <c r="R246" t="str">
        <f>IF(Table1[[#This Row],[Sales]]&lt;1000,"LOW",IF(Table1[[#This Row],[Sales]]&lt;5000,"MEDIUM","HIGH"))</f>
        <v>HIGH</v>
      </c>
      <c r="S246" s="2">
        <f>Table1[[#This Row],[Discount]]/100</f>
        <v>0.05</v>
      </c>
    </row>
    <row r="247" spans="1:19" x14ac:dyDescent="0.3">
      <c r="A247">
        <v>10246</v>
      </c>
      <c r="B247" s="1" t="s">
        <v>369</v>
      </c>
      <c r="C247" t="s">
        <v>182</v>
      </c>
      <c r="D247" t="s">
        <v>15</v>
      </c>
      <c r="E247" t="s">
        <v>16</v>
      </c>
      <c r="F247" t="s">
        <v>25</v>
      </c>
      <c r="G247" t="s">
        <v>26</v>
      </c>
      <c r="H247" t="s">
        <v>71</v>
      </c>
      <c r="I247">
        <v>6</v>
      </c>
      <c r="J247">
        <v>672</v>
      </c>
      <c r="K247">
        <v>175.31</v>
      </c>
      <c r="L247">
        <v>20</v>
      </c>
      <c r="M247" t="s">
        <v>40</v>
      </c>
      <c r="N247" t="str">
        <f>TEXT(Table1[[#This Row],[Order Date]],"MMMM")</f>
        <v>October</v>
      </c>
      <c r="O247">
        <f>YEAR(Table1[[#This Row],[Order Date]])</f>
        <v>2025</v>
      </c>
      <c r="P247" t="str">
        <f>"Q"&amp;ROUNDUP(MONTH(Table1[[#This Row],[Order Date]])/3,0)</f>
        <v>Q4</v>
      </c>
      <c r="Q247" s="3">
        <f>Table1[[#This Row],[Profit]]/Table1[[#This Row],[Sales]]</f>
        <v>0.2608779761904762</v>
      </c>
      <c r="R247" t="str">
        <f>IF(Table1[[#This Row],[Sales]]&lt;1000,"LOW",IF(Table1[[#This Row],[Sales]]&lt;5000,"MEDIUM","HIGH"))</f>
        <v>LOW</v>
      </c>
      <c r="S247" s="2">
        <f>Table1[[#This Row],[Discount]]/100</f>
        <v>0.2</v>
      </c>
    </row>
    <row r="248" spans="1:19" x14ac:dyDescent="0.3">
      <c r="A248">
        <v>10247</v>
      </c>
      <c r="B248" s="1" t="s">
        <v>131</v>
      </c>
      <c r="C248" t="s">
        <v>370</v>
      </c>
      <c r="D248" t="s">
        <v>56</v>
      </c>
      <c r="E248" t="s">
        <v>57</v>
      </c>
      <c r="F248" t="s">
        <v>31</v>
      </c>
      <c r="G248" t="s">
        <v>89</v>
      </c>
      <c r="H248" t="s">
        <v>90</v>
      </c>
      <c r="I248">
        <v>4</v>
      </c>
      <c r="J248">
        <v>7619.2</v>
      </c>
      <c r="K248">
        <v>1016.63</v>
      </c>
      <c r="L248">
        <v>20</v>
      </c>
      <c r="M248" t="s">
        <v>28</v>
      </c>
      <c r="N248" t="str">
        <f>TEXT(Table1[[#This Row],[Order Date]],"MMMM")</f>
        <v>January</v>
      </c>
      <c r="O248">
        <f>YEAR(Table1[[#This Row],[Order Date]])</f>
        <v>2025</v>
      </c>
      <c r="P248" t="str">
        <f>"Q"&amp;ROUNDUP(MONTH(Table1[[#This Row],[Order Date]])/3,0)</f>
        <v>Q1</v>
      </c>
      <c r="Q248" s="3">
        <f>Table1[[#This Row],[Profit]]/Table1[[#This Row],[Sales]]</f>
        <v>0.133430018899622</v>
      </c>
      <c r="R248" t="str">
        <f>IF(Table1[[#This Row],[Sales]]&lt;1000,"LOW",IF(Table1[[#This Row],[Sales]]&lt;5000,"MEDIUM","HIGH"))</f>
        <v>HIGH</v>
      </c>
      <c r="S248" s="2">
        <f>Table1[[#This Row],[Discount]]/100</f>
        <v>0.2</v>
      </c>
    </row>
    <row r="249" spans="1:19" x14ac:dyDescent="0.3">
      <c r="A249">
        <v>10248</v>
      </c>
      <c r="B249" s="1" t="s">
        <v>371</v>
      </c>
      <c r="C249" t="s">
        <v>189</v>
      </c>
      <c r="D249" t="s">
        <v>23</v>
      </c>
      <c r="E249" t="s">
        <v>24</v>
      </c>
      <c r="F249" t="s">
        <v>17</v>
      </c>
      <c r="G249" t="s">
        <v>18</v>
      </c>
      <c r="H249" t="s">
        <v>19</v>
      </c>
      <c r="I249">
        <v>1</v>
      </c>
      <c r="J249">
        <v>254.4</v>
      </c>
      <c r="K249">
        <v>55.74</v>
      </c>
      <c r="L249">
        <v>20</v>
      </c>
      <c r="M249" t="s">
        <v>28</v>
      </c>
      <c r="N249" t="str">
        <f>TEXT(Table1[[#This Row],[Order Date]],"MMMM")</f>
        <v>November</v>
      </c>
      <c r="O249">
        <f>YEAR(Table1[[#This Row],[Order Date]])</f>
        <v>2025</v>
      </c>
      <c r="P249" t="str">
        <f>"Q"&amp;ROUNDUP(MONTH(Table1[[#This Row],[Order Date]])/3,0)</f>
        <v>Q4</v>
      </c>
      <c r="Q249" s="3">
        <f>Table1[[#This Row],[Profit]]/Table1[[#This Row],[Sales]]</f>
        <v>0.21910377358490565</v>
      </c>
      <c r="R249" t="str">
        <f>IF(Table1[[#This Row],[Sales]]&lt;1000,"LOW",IF(Table1[[#This Row],[Sales]]&lt;5000,"MEDIUM","HIGH"))</f>
        <v>LOW</v>
      </c>
      <c r="S249" s="2">
        <f>Table1[[#This Row],[Discount]]/100</f>
        <v>0.2</v>
      </c>
    </row>
    <row r="250" spans="1:19" x14ac:dyDescent="0.3">
      <c r="A250">
        <v>10249</v>
      </c>
      <c r="B250" s="1" t="s">
        <v>254</v>
      </c>
      <c r="C250" t="s">
        <v>98</v>
      </c>
      <c r="D250" t="s">
        <v>15</v>
      </c>
      <c r="E250" t="s">
        <v>16</v>
      </c>
      <c r="F250" t="s">
        <v>17</v>
      </c>
      <c r="G250" t="s">
        <v>75</v>
      </c>
      <c r="H250" t="s">
        <v>116</v>
      </c>
      <c r="I250">
        <v>6</v>
      </c>
      <c r="J250">
        <v>23376</v>
      </c>
      <c r="K250">
        <v>2416.1</v>
      </c>
      <c r="L250">
        <v>20</v>
      </c>
      <c r="M250" t="s">
        <v>49</v>
      </c>
      <c r="N250" t="str">
        <f>TEXT(Table1[[#This Row],[Order Date]],"MMMM")</f>
        <v>March</v>
      </c>
      <c r="O250">
        <f>YEAR(Table1[[#This Row],[Order Date]])</f>
        <v>2025</v>
      </c>
      <c r="P250" t="str">
        <f>"Q"&amp;ROUNDUP(MONTH(Table1[[#This Row],[Order Date]])/3,0)</f>
        <v>Q1</v>
      </c>
      <c r="Q250" s="3">
        <f>Table1[[#This Row],[Profit]]/Table1[[#This Row],[Sales]]</f>
        <v>0.10335814510609172</v>
      </c>
      <c r="R250" t="str">
        <f>IF(Table1[[#This Row],[Sales]]&lt;1000,"LOW",IF(Table1[[#This Row],[Sales]]&lt;5000,"MEDIUM","HIGH"))</f>
        <v>HIGH</v>
      </c>
      <c r="S250" s="2">
        <f>Table1[[#This Row],[Discount]]/100</f>
        <v>0.2</v>
      </c>
    </row>
    <row r="251" spans="1:19" x14ac:dyDescent="0.3">
      <c r="A251">
        <v>10250</v>
      </c>
      <c r="B251" s="1" t="s">
        <v>372</v>
      </c>
      <c r="C251" t="s">
        <v>162</v>
      </c>
      <c r="D251" t="s">
        <v>23</v>
      </c>
      <c r="E251" t="s">
        <v>24</v>
      </c>
      <c r="F251" t="s">
        <v>25</v>
      </c>
      <c r="G251" t="s">
        <v>26</v>
      </c>
      <c r="H251" t="s">
        <v>71</v>
      </c>
      <c r="I251">
        <v>7</v>
      </c>
      <c r="J251">
        <v>14212.8</v>
      </c>
      <c r="K251">
        <v>3665.34</v>
      </c>
      <c r="L251">
        <v>20</v>
      </c>
      <c r="M251" t="s">
        <v>20</v>
      </c>
      <c r="N251" t="str">
        <f>TEXT(Table1[[#This Row],[Order Date]],"MMMM")</f>
        <v>January</v>
      </c>
      <c r="O251">
        <f>YEAR(Table1[[#This Row],[Order Date]])</f>
        <v>2025</v>
      </c>
      <c r="P251" t="str">
        <f>"Q"&amp;ROUNDUP(MONTH(Table1[[#This Row],[Order Date]])/3,0)</f>
        <v>Q1</v>
      </c>
      <c r="Q251" s="3">
        <f>Table1[[#This Row],[Profit]]/Table1[[#This Row],[Sales]]</f>
        <v>0.25789007092198585</v>
      </c>
      <c r="R251" t="str">
        <f>IF(Table1[[#This Row],[Sales]]&lt;1000,"LOW",IF(Table1[[#This Row],[Sales]]&lt;5000,"MEDIUM","HIGH"))</f>
        <v>HIGH</v>
      </c>
      <c r="S251" s="2">
        <f>Table1[[#This Row],[Discount]]/100</f>
        <v>0.2</v>
      </c>
    </row>
    <row r="252" spans="1:19" x14ac:dyDescent="0.3">
      <c r="A252">
        <v>10251</v>
      </c>
      <c r="B252" s="1" t="s">
        <v>373</v>
      </c>
      <c r="C252" t="s">
        <v>374</v>
      </c>
      <c r="D252" t="s">
        <v>74</v>
      </c>
      <c r="E252" t="s">
        <v>74</v>
      </c>
      <c r="F252" t="s">
        <v>17</v>
      </c>
      <c r="G252" t="s">
        <v>18</v>
      </c>
      <c r="H252" t="s">
        <v>19</v>
      </c>
      <c r="I252">
        <v>8</v>
      </c>
      <c r="J252">
        <v>14144</v>
      </c>
      <c r="K252">
        <v>3866.38</v>
      </c>
      <c r="L252">
        <v>20</v>
      </c>
      <c r="M252" t="s">
        <v>49</v>
      </c>
      <c r="N252" t="str">
        <f>TEXT(Table1[[#This Row],[Order Date]],"MMMM")</f>
        <v>January</v>
      </c>
      <c r="O252">
        <f>YEAR(Table1[[#This Row],[Order Date]])</f>
        <v>2025</v>
      </c>
      <c r="P252" t="str">
        <f>"Q"&amp;ROUNDUP(MONTH(Table1[[#This Row],[Order Date]])/3,0)</f>
        <v>Q1</v>
      </c>
      <c r="Q252" s="3">
        <f>Table1[[#This Row],[Profit]]/Table1[[#This Row],[Sales]]</f>
        <v>0.27335831447963804</v>
      </c>
      <c r="R252" t="str">
        <f>IF(Table1[[#This Row],[Sales]]&lt;1000,"LOW",IF(Table1[[#This Row],[Sales]]&lt;5000,"MEDIUM","HIGH"))</f>
        <v>HIGH</v>
      </c>
      <c r="S252" s="2">
        <f>Table1[[#This Row],[Discount]]/100</f>
        <v>0.2</v>
      </c>
    </row>
    <row r="253" spans="1:19" x14ac:dyDescent="0.3">
      <c r="A253">
        <v>10252</v>
      </c>
      <c r="B253" s="1" t="s">
        <v>375</v>
      </c>
      <c r="C253" t="s">
        <v>78</v>
      </c>
      <c r="D253" t="s">
        <v>56</v>
      </c>
      <c r="E253" t="s">
        <v>57</v>
      </c>
      <c r="F253" t="s">
        <v>25</v>
      </c>
      <c r="G253" t="s">
        <v>26</v>
      </c>
      <c r="H253" t="s">
        <v>48</v>
      </c>
      <c r="I253">
        <v>5</v>
      </c>
      <c r="J253">
        <v>3105</v>
      </c>
      <c r="K253">
        <v>828.73</v>
      </c>
      <c r="L253">
        <v>0</v>
      </c>
      <c r="M253" t="s">
        <v>40</v>
      </c>
      <c r="N253" t="str">
        <f>TEXT(Table1[[#This Row],[Order Date]],"MMMM")</f>
        <v>June</v>
      </c>
      <c r="O253">
        <f>YEAR(Table1[[#This Row],[Order Date]])</f>
        <v>2025</v>
      </c>
      <c r="P253" t="str">
        <f>"Q"&amp;ROUNDUP(MONTH(Table1[[#This Row],[Order Date]])/3,0)</f>
        <v>Q2</v>
      </c>
      <c r="Q253" s="3">
        <f>Table1[[#This Row],[Profit]]/Table1[[#This Row],[Sales]]</f>
        <v>0.26690177133655396</v>
      </c>
      <c r="R253" t="str">
        <f>IF(Table1[[#This Row],[Sales]]&lt;1000,"LOW",IF(Table1[[#This Row],[Sales]]&lt;5000,"MEDIUM","HIGH"))</f>
        <v>MEDIUM</v>
      </c>
      <c r="S253" s="2">
        <f>Table1[[#This Row],[Discount]]/100</f>
        <v>0</v>
      </c>
    </row>
    <row r="254" spans="1:19" x14ac:dyDescent="0.3">
      <c r="A254">
        <v>10253</v>
      </c>
      <c r="B254" s="1" t="s">
        <v>376</v>
      </c>
      <c r="C254" t="s">
        <v>377</v>
      </c>
      <c r="D254" t="s">
        <v>52</v>
      </c>
      <c r="E254" t="s">
        <v>53</v>
      </c>
      <c r="F254" t="s">
        <v>31</v>
      </c>
      <c r="G254" t="s">
        <v>38</v>
      </c>
      <c r="H254" t="s">
        <v>39</v>
      </c>
      <c r="I254">
        <v>2</v>
      </c>
      <c r="J254">
        <v>992</v>
      </c>
      <c r="K254">
        <v>171.4</v>
      </c>
      <c r="L254">
        <v>0</v>
      </c>
      <c r="M254" t="s">
        <v>45</v>
      </c>
      <c r="N254" t="str">
        <f>TEXT(Table1[[#This Row],[Order Date]],"MMMM")</f>
        <v>December</v>
      </c>
      <c r="O254">
        <f>YEAR(Table1[[#This Row],[Order Date]])</f>
        <v>2025</v>
      </c>
      <c r="P254" t="str">
        <f>"Q"&amp;ROUNDUP(MONTH(Table1[[#This Row],[Order Date]])/3,0)</f>
        <v>Q4</v>
      </c>
      <c r="Q254" s="3">
        <f>Table1[[#This Row],[Profit]]/Table1[[#This Row],[Sales]]</f>
        <v>0.17278225806451614</v>
      </c>
      <c r="R254" t="str">
        <f>IF(Table1[[#This Row],[Sales]]&lt;1000,"LOW",IF(Table1[[#This Row],[Sales]]&lt;5000,"MEDIUM","HIGH"))</f>
        <v>LOW</v>
      </c>
      <c r="S254" s="2">
        <f>Table1[[#This Row],[Discount]]/100</f>
        <v>0</v>
      </c>
    </row>
    <row r="255" spans="1:19" x14ac:dyDescent="0.3">
      <c r="A255">
        <v>10254</v>
      </c>
      <c r="B255" s="1" t="s">
        <v>378</v>
      </c>
      <c r="C255" t="s">
        <v>379</v>
      </c>
      <c r="D255" t="s">
        <v>15</v>
      </c>
      <c r="E255" t="s">
        <v>16</v>
      </c>
      <c r="F255" t="s">
        <v>17</v>
      </c>
      <c r="G255" t="s">
        <v>43</v>
      </c>
      <c r="H255" t="s">
        <v>44</v>
      </c>
      <c r="I255">
        <v>5</v>
      </c>
      <c r="J255">
        <v>17175</v>
      </c>
      <c r="K255">
        <v>1375.76</v>
      </c>
      <c r="L255">
        <v>0</v>
      </c>
      <c r="M255" t="s">
        <v>45</v>
      </c>
      <c r="N255" t="str">
        <f>TEXT(Table1[[#This Row],[Order Date]],"MMMM")</f>
        <v>April</v>
      </c>
      <c r="O255">
        <f>YEAR(Table1[[#This Row],[Order Date]])</f>
        <v>2025</v>
      </c>
      <c r="P255" t="str">
        <f>"Q"&amp;ROUNDUP(MONTH(Table1[[#This Row],[Order Date]])/3,0)</f>
        <v>Q2</v>
      </c>
      <c r="Q255" s="3">
        <f>Table1[[#This Row],[Profit]]/Table1[[#This Row],[Sales]]</f>
        <v>8.0102474526928674E-2</v>
      </c>
      <c r="R255" t="str">
        <f>IF(Table1[[#This Row],[Sales]]&lt;1000,"LOW",IF(Table1[[#This Row],[Sales]]&lt;5000,"MEDIUM","HIGH"))</f>
        <v>HIGH</v>
      </c>
      <c r="S255" s="2">
        <f>Table1[[#This Row],[Discount]]/100</f>
        <v>0</v>
      </c>
    </row>
    <row r="256" spans="1:19" x14ac:dyDescent="0.3">
      <c r="A256">
        <v>10255</v>
      </c>
      <c r="B256" s="1" t="s">
        <v>87</v>
      </c>
      <c r="C256" t="s">
        <v>380</v>
      </c>
      <c r="D256" t="s">
        <v>36</v>
      </c>
      <c r="E256" t="s">
        <v>37</v>
      </c>
      <c r="F256" t="s">
        <v>31</v>
      </c>
      <c r="G256" t="s">
        <v>124</v>
      </c>
      <c r="H256" t="s">
        <v>125</v>
      </c>
      <c r="I256">
        <v>8</v>
      </c>
      <c r="J256">
        <v>24266.799999999999</v>
      </c>
      <c r="K256">
        <v>7004.11</v>
      </c>
      <c r="L256">
        <v>5</v>
      </c>
      <c r="M256" t="s">
        <v>28</v>
      </c>
      <c r="N256" t="str">
        <f>TEXT(Table1[[#This Row],[Order Date]],"MMMM")</f>
        <v>July</v>
      </c>
      <c r="O256">
        <f>YEAR(Table1[[#This Row],[Order Date]])</f>
        <v>2025</v>
      </c>
      <c r="P256" t="str">
        <f>"Q"&amp;ROUNDUP(MONTH(Table1[[#This Row],[Order Date]])/3,0)</f>
        <v>Q3</v>
      </c>
      <c r="Q256" s="3">
        <f>Table1[[#This Row],[Profit]]/Table1[[#This Row],[Sales]]</f>
        <v>0.288629320718018</v>
      </c>
      <c r="R256" t="str">
        <f>IF(Table1[[#This Row],[Sales]]&lt;1000,"LOW",IF(Table1[[#This Row],[Sales]]&lt;5000,"MEDIUM","HIGH"))</f>
        <v>HIGH</v>
      </c>
      <c r="S256" s="2">
        <f>Table1[[#This Row],[Discount]]/100</f>
        <v>0.05</v>
      </c>
    </row>
    <row r="257" spans="1:19" x14ac:dyDescent="0.3">
      <c r="A257">
        <v>10256</v>
      </c>
      <c r="B257" s="1" t="s">
        <v>381</v>
      </c>
      <c r="C257" t="s">
        <v>251</v>
      </c>
      <c r="D257" t="s">
        <v>66</v>
      </c>
      <c r="E257" t="s">
        <v>16</v>
      </c>
      <c r="F257" t="s">
        <v>25</v>
      </c>
      <c r="G257" t="s">
        <v>95</v>
      </c>
      <c r="H257" t="s">
        <v>96</v>
      </c>
      <c r="I257">
        <v>2</v>
      </c>
      <c r="J257">
        <v>6217.6</v>
      </c>
      <c r="K257">
        <v>1015.41</v>
      </c>
      <c r="L257">
        <v>20</v>
      </c>
      <c r="M257" t="s">
        <v>45</v>
      </c>
      <c r="N257" t="str">
        <f>TEXT(Table1[[#This Row],[Order Date]],"MMMM")</f>
        <v>June</v>
      </c>
      <c r="O257">
        <f>YEAR(Table1[[#This Row],[Order Date]])</f>
        <v>2025</v>
      </c>
      <c r="P257" t="str">
        <f>"Q"&amp;ROUNDUP(MONTH(Table1[[#This Row],[Order Date]])/3,0)</f>
        <v>Q2</v>
      </c>
      <c r="Q257" s="3">
        <f>Table1[[#This Row],[Profit]]/Table1[[#This Row],[Sales]]</f>
        <v>0.16331221049922798</v>
      </c>
      <c r="R257" t="str">
        <f>IF(Table1[[#This Row],[Sales]]&lt;1000,"LOW",IF(Table1[[#This Row],[Sales]]&lt;5000,"MEDIUM","HIGH"))</f>
        <v>HIGH</v>
      </c>
      <c r="S257" s="2">
        <f>Table1[[#This Row],[Discount]]/100</f>
        <v>0.2</v>
      </c>
    </row>
    <row r="258" spans="1:19" x14ac:dyDescent="0.3">
      <c r="A258">
        <v>10257</v>
      </c>
      <c r="B258" s="1" t="s">
        <v>382</v>
      </c>
      <c r="C258" t="s">
        <v>30</v>
      </c>
      <c r="D258" t="s">
        <v>74</v>
      </c>
      <c r="E258" t="s">
        <v>74</v>
      </c>
      <c r="F258" t="s">
        <v>17</v>
      </c>
      <c r="G258" t="s">
        <v>43</v>
      </c>
      <c r="H258" t="s">
        <v>44</v>
      </c>
      <c r="I258">
        <v>2</v>
      </c>
      <c r="J258">
        <v>7871.4</v>
      </c>
      <c r="K258">
        <v>723.23</v>
      </c>
      <c r="L258">
        <v>10</v>
      </c>
      <c r="M258" t="s">
        <v>45</v>
      </c>
      <c r="N258" t="str">
        <f>TEXT(Table1[[#This Row],[Order Date]],"MMMM")</f>
        <v>June</v>
      </c>
      <c r="O258">
        <f>YEAR(Table1[[#This Row],[Order Date]])</f>
        <v>2025</v>
      </c>
      <c r="P258" t="str">
        <f>"Q"&amp;ROUNDUP(MONTH(Table1[[#This Row],[Order Date]])/3,0)</f>
        <v>Q2</v>
      </c>
      <c r="Q258" s="3">
        <f>Table1[[#This Row],[Profit]]/Table1[[#This Row],[Sales]]</f>
        <v>9.1880732779429333E-2</v>
      </c>
      <c r="R258" t="str">
        <f>IF(Table1[[#This Row],[Sales]]&lt;1000,"LOW",IF(Table1[[#This Row],[Sales]]&lt;5000,"MEDIUM","HIGH"))</f>
        <v>HIGH</v>
      </c>
      <c r="S258" s="2">
        <f>Table1[[#This Row],[Discount]]/100</f>
        <v>0.1</v>
      </c>
    </row>
    <row r="259" spans="1:19" x14ac:dyDescent="0.3">
      <c r="A259">
        <v>10258</v>
      </c>
      <c r="B259" s="1" t="s">
        <v>383</v>
      </c>
      <c r="C259" t="s">
        <v>292</v>
      </c>
      <c r="D259" t="s">
        <v>56</v>
      </c>
      <c r="E259" t="s">
        <v>57</v>
      </c>
      <c r="F259" t="s">
        <v>31</v>
      </c>
      <c r="G259" t="s">
        <v>32</v>
      </c>
      <c r="H259" t="s">
        <v>33</v>
      </c>
      <c r="I259">
        <v>1</v>
      </c>
      <c r="J259">
        <v>1214.6500000000001</v>
      </c>
      <c r="K259">
        <v>192.36</v>
      </c>
      <c r="L259">
        <v>15</v>
      </c>
      <c r="M259" t="s">
        <v>20</v>
      </c>
      <c r="N259" t="str">
        <f>TEXT(Table1[[#This Row],[Order Date]],"MMMM")</f>
        <v>February</v>
      </c>
      <c r="O259">
        <f>YEAR(Table1[[#This Row],[Order Date]])</f>
        <v>2025</v>
      </c>
      <c r="P259" t="str">
        <f>"Q"&amp;ROUNDUP(MONTH(Table1[[#This Row],[Order Date]])/3,0)</f>
        <v>Q1</v>
      </c>
      <c r="Q259" s="3">
        <f>Table1[[#This Row],[Profit]]/Table1[[#This Row],[Sales]]</f>
        <v>0.15836660766475941</v>
      </c>
      <c r="R259" t="str">
        <f>IF(Table1[[#This Row],[Sales]]&lt;1000,"LOW",IF(Table1[[#This Row],[Sales]]&lt;5000,"MEDIUM","HIGH"))</f>
        <v>MEDIUM</v>
      </c>
      <c r="S259" s="2">
        <f>Table1[[#This Row],[Discount]]/100</f>
        <v>0.15</v>
      </c>
    </row>
    <row r="260" spans="1:19" x14ac:dyDescent="0.3">
      <c r="A260">
        <v>10259</v>
      </c>
      <c r="B260" s="1" t="s">
        <v>384</v>
      </c>
      <c r="C260" t="s">
        <v>385</v>
      </c>
      <c r="D260" t="s">
        <v>15</v>
      </c>
      <c r="E260" t="s">
        <v>16</v>
      </c>
      <c r="F260" t="s">
        <v>25</v>
      </c>
      <c r="G260" t="s">
        <v>26</v>
      </c>
      <c r="H260" t="s">
        <v>27</v>
      </c>
      <c r="I260">
        <v>7</v>
      </c>
      <c r="J260">
        <v>7949.2</v>
      </c>
      <c r="K260">
        <v>1405.07</v>
      </c>
      <c r="L260">
        <v>15</v>
      </c>
      <c r="M260" t="s">
        <v>28</v>
      </c>
      <c r="N260" t="str">
        <f>TEXT(Table1[[#This Row],[Order Date]],"MMMM")</f>
        <v>November</v>
      </c>
      <c r="O260">
        <f>YEAR(Table1[[#This Row],[Order Date]])</f>
        <v>2025</v>
      </c>
      <c r="P260" t="str">
        <f>"Q"&amp;ROUNDUP(MONTH(Table1[[#This Row],[Order Date]])/3,0)</f>
        <v>Q4</v>
      </c>
      <c r="Q260" s="3">
        <f>Table1[[#This Row],[Profit]]/Table1[[#This Row],[Sales]]</f>
        <v>0.17675615156242136</v>
      </c>
      <c r="R260" t="str">
        <f>IF(Table1[[#This Row],[Sales]]&lt;1000,"LOW",IF(Table1[[#This Row],[Sales]]&lt;5000,"MEDIUM","HIGH"))</f>
        <v>HIGH</v>
      </c>
      <c r="S260" s="2">
        <f>Table1[[#This Row],[Discount]]/100</f>
        <v>0.15</v>
      </c>
    </row>
    <row r="261" spans="1:19" x14ac:dyDescent="0.3">
      <c r="A261">
        <v>10260</v>
      </c>
      <c r="B261" s="1" t="s">
        <v>234</v>
      </c>
      <c r="C261" t="s">
        <v>302</v>
      </c>
      <c r="D261" t="s">
        <v>66</v>
      </c>
      <c r="E261" t="s">
        <v>16</v>
      </c>
      <c r="F261" t="s">
        <v>25</v>
      </c>
      <c r="G261" t="s">
        <v>26</v>
      </c>
      <c r="H261" t="s">
        <v>48</v>
      </c>
      <c r="I261">
        <v>5</v>
      </c>
      <c r="J261">
        <v>8988.75</v>
      </c>
      <c r="K261">
        <v>758.14</v>
      </c>
      <c r="L261">
        <v>15</v>
      </c>
      <c r="M261" t="s">
        <v>45</v>
      </c>
      <c r="N261" t="str">
        <f>TEXT(Table1[[#This Row],[Order Date]],"MMMM")</f>
        <v>March</v>
      </c>
      <c r="O261">
        <f>YEAR(Table1[[#This Row],[Order Date]])</f>
        <v>2025</v>
      </c>
      <c r="P261" t="str">
        <f>"Q"&amp;ROUNDUP(MONTH(Table1[[#This Row],[Order Date]])/3,0)</f>
        <v>Q1</v>
      </c>
      <c r="Q261" s="3">
        <f>Table1[[#This Row],[Profit]]/Table1[[#This Row],[Sales]]</f>
        <v>8.4343206786260602E-2</v>
      </c>
      <c r="R261" t="str">
        <f>IF(Table1[[#This Row],[Sales]]&lt;1000,"LOW",IF(Table1[[#This Row],[Sales]]&lt;5000,"MEDIUM","HIGH"))</f>
        <v>HIGH</v>
      </c>
      <c r="S261" s="2">
        <f>Table1[[#This Row],[Discount]]/100</f>
        <v>0.15</v>
      </c>
    </row>
    <row r="262" spans="1:19" x14ac:dyDescent="0.3">
      <c r="A262">
        <v>10261</v>
      </c>
      <c r="B262" s="1" t="s">
        <v>386</v>
      </c>
      <c r="C262" t="s">
        <v>387</v>
      </c>
      <c r="D262" t="s">
        <v>60</v>
      </c>
      <c r="E262" t="s">
        <v>61</v>
      </c>
      <c r="F262" t="s">
        <v>31</v>
      </c>
      <c r="G262" t="s">
        <v>89</v>
      </c>
      <c r="H262" t="s">
        <v>90</v>
      </c>
      <c r="I262">
        <v>8</v>
      </c>
      <c r="J262">
        <v>5198.3999999999996</v>
      </c>
      <c r="K262">
        <v>1279.8</v>
      </c>
      <c r="L262">
        <v>5</v>
      </c>
      <c r="M262" t="s">
        <v>40</v>
      </c>
      <c r="N262" t="str">
        <f>TEXT(Table1[[#This Row],[Order Date]],"MMMM")</f>
        <v>June</v>
      </c>
      <c r="O262">
        <f>YEAR(Table1[[#This Row],[Order Date]])</f>
        <v>2025</v>
      </c>
      <c r="P262" t="str">
        <f>"Q"&amp;ROUNDUP(MONTH(Table1[[#This Row],[Order Date]])/3,0)</f>
        <v>Q2</v>
      </c>
      <c r="Q262" s="3">
        <f>Table1[[#This Row],[Profit]]/Table1[[#This Row],[Sales]]</f>
        <v>0.24619113573407203</v>
      </c>
      <c r="R262" t="str">
        <f>IF(Table1[[#This Row],[Sales]]&lt;1000,"LOW",IF(Table1[[#This Row],[Sales]]&lt;5000,"MEDIUM","HIGH"))</f>
        <v>HIGH</v>
      </c>
      <c r="S262" s="2">
        <f>Table1[[#This Row],[Discount]]/100</f>
        <v>0.05</v>
      </c>
    </row>
    <row r="263" spans="1:19" x14ac:dyDescent="0.3">
      <c r="A263">
        <v>10262</v>
      </c>
      <c r="B263" s="1" t="s">
        <v>388</v>
      </c>
      <c r="C263" t="s">
        <v>158</v>
      </c>
      <c r="D263" t="s">
        <v>15</v>
      </c>
      <c r="E263" t="s">
        <v>16</v>
      </c>
      <c r="F263" t="s">
        <v>17</v>
      </c>
      <c r="G263" t="s">
        <v>75</v>
      </c>
      <c r="H263" t="s">
        <v>76</v>
      </c>
      <c r="I263">
        <v>5</v>
      </c>
      <c r="J263">
        <v>19950</v>
      </c>
      <c r="K263">
        <v>3091.99</v>
      </c>
      <c r="L263">
        <v>5</v>
      </c>
      <c r="M263" t="s">
        <v>45</v>
      </c>
      <c r="N263" t="str">
        <f>TEXT(Table1[[#This Row],[Order Date]],"MMMM")</f>
        <v>August</v>
      </c>
      <c r="O263">
        <f>YEAR(Table1[[#This Row],[Order Date]])</f>
        <v>2025</v>
      </c>
      <c r="P263" t="str">
        <f>"Q"&amp;ROUNDUP(MONTH(Table1[[#This Row],[Order Date]])/3,0)</f>
        <v>Q3</v>
      </c>
      <c r="Q263" s="3">
        <f>Table1[[#This Row],[Profit]]/Table1[[#This Row],[Sales]]</f>
        <v>0.15498696741854637</v>
      </c>
      <c r="R263" t="str">
        <f>IF(Table1[[#This Row],[Sales]]&lt;1000,"LOW",IF(Table1[[#This Row],[Sales]]&lt;5000,"MEDIUM","HIGH"))</f>
        <v>HIGH</v>
      </c>
      <c r="S263" s="2">
        <f>Table1[[#This Row],[Discount]]/100</f>
        <v>0.05</v>
      </c>
    </row>
    <row r="264" spans="1:19" x14ac:dyDescent="0.3">
      <c r="A264">
        <v>10263</v>
      </c>
      <c r="B264" s="1" t="s">
        <v>389</v>
      </c>
      <c r="C264" t="s">
        <v>169</v>
      </c>
      <c r="D264" t="s">
        <v>66</v>
      </c>
      <c r="E264" t="s">
        <v>16</v>
      </c>
      <c r="F264" t="s">
        <v>31</v>
      </c>
      <c r="G264" t="s">
        <v>38</v>
      </c>
      <c r="H264" t="s">
        <v>39</v>
      </c>
      <c r="I264">
        <v>8</v>
      </c>
      <c r="J264">
        <v>7942.4</v>
      </c>
      <c r="K264">
        <v>897.15</v>
      </c>
      <c r="L264">
        <v>15</v>
      </c>
      <c r="M264" t="s">
        <v>40</v>
      </c>
      <c r="N264" t="str">
        <f>TEXT(Table1[[#This Row],[Order Date]],"MMMM")</f>
        <v>April</v>
      </c>
      <c r="O264">
        <f>YEAR(Table1[[#This Row],[Order Date]])</f>
        <v>2025</v>
      </c>
      <c r="P264" t="str">
        <f>"Q"&amp;ROUNDUP(MONTH(Table1[[#This Row],[Order Date]])/3,0)</f>
        <v>Q2</v>
      </c>
      <c r="Q264" s="3">
        <f>Table1[[#This Row],[Profit]]/Table1[[#This Row],[Sales]]</f>
        <v>0.11295704069298952</v>
      </c>
      <c r="R264" t="str">
        <f>IF(Table1[[#This Row],[Sales]]&lt;1000,"LOW",IF(Table1[[#This Row],[Sales]]&lt;5000,"MEDIUM","HIGH"))</f>
        <v>HIGH</v>
      </c>
      <c r="S264" s="2">
        <f>Table1[[#This Row],[Discount]]/100</f>
        <v>0.15</v>
      </c>
    </row>
    <row r="265" spans="1:19" x14ac:dyDescent="0.3">
      <c r="A265">
        <v>10264</v>
      </c>
      <c r="B265" s="1" t="s">
        <v>390</v>
      </c>
      <c r="C265" t="s">
        <v>88</v>
      </c>
      <c r="D265" t="s">
        <v>60</v>
      </c>
      <c r="E265" t="s">
        <v>61</v>
      </c>
      <c r="F265" t="s">
        <v>17</v>
      </c>
      <c r="G265" t="s">
        <v>75</v>
      </c>
      <c r="H265" t="s">
        <v>116</v>
      </c>
      <c r="I265">
        <v>8</v>
      </c>
      <c r="J265">
        <v>23555.200000000001</v>
      </c>
      <c r="K265">
        <v>4630.8</v>
      </c>
      <c r="L265">
        <v>15</v>
      </c>
      <c r="M265" t="s">
        <v>20</v>
      </c>
      <c r="N265" t="str">
        <f>TEXT(Table1[[#This Row],[Order Date]],"MMMM")</f>
        <v>December</v>
      </c>
      <c r="O265">
        <f>YEAR(Table1[[#This Row],[Order Date]])</f>
        <v>2025</v>
      </c>
      <c r="P265" t="str">
        <f>"Q"&amp;ROUNDUP(MONTH(Table1[[#This Row],[Order Date]])/3,0)</f>
        <v>Q4</v>
      </c>
      <c r="Q265" s="3">
        <f>Table1[[#This Row],[Profit]]/Table1[[#This Row],[Sales]]</f>
        <v>0.19659353348729791</v>
      </c>
      <c r="R265" t="str">
        <f>IF(Table1[[#This Row],[Sales]]&lt;1000,"LOW",IF(Table1[[#This Row],[Sales]]&lt;5000,"MEDIUM","HIGH"))</f>
        <v>HIGH</v>
      </c>
      <c r="S265" s="2">
        <f>Table1[[#This Row],[Discount]]/100</f>
        <v>0.15</v>
      </c>
    </row>
    <row r="266" spans="1:19" x14ac:dyDescent="0.3">
      <c r="A266">
        <v>10265</v>
      </c>
      <c r="B266" s="1" t="s">
        <v>234</v>
      </c>
      <c r="C266" t="s">
        <v>391</v>
      </c>
      <c r="D266" t="s">
        <v>52</v>
      </c>
      <c r="E266" t="s">
        <v>53</v>
      </c>
      <c r="F266" t="s">
        <v>25</v>
      </c>
      <c r="G266" t="s">
        <v>26</v>
      </c>
      <c r="H266" t="s">
        <v>48</v>
      </c>
      <c r="I266">
        <v>6</v>
      </c>
      <c r="J266">
        <v>23550</v>
      </c>
      <c r="K266">
        <v>5034.99</v>
      </c>
      <c r="L266">
        <v>0</v>
      </c>
      <c r="M266" t="s">
        <v>40</v>
      </c>
      <c r="N266" t="str">
        <f>TEXT(Table1[[#This Row],[Order Date]],"MMMM")</f>
        <v>March</v>
      </c>
      <c r="O266">
        <f>YEAR(Table1[[#This Row],[Order Date]])</f>
        <v>2025</v>
      </c>
      <c r="P266" t="str">
        <f>"Q"&amp;ROUNDUP(MONTH(Table1[[#This Row],[Order Date]])/3,0)</f>
        <v>Q1</v>
      </c>
      <c r="Q266" s="3">
        <f>Table1[[#This Row],[Profit]]/Table1[[#This Row],[Sales]]</f>
        <v>0.21379999999999999</v>
      </c>
      <c r="R266" t="str">
        <f>IF(Table1[[#This Row],[Sales]]&lt;1000,"LOW",IF(Table1[[#This Row],[Sales]]&lt;5000,"MEDIUM","HIGH"))</f>
        <v>HIGH</v>
      </c>
      <c r="S266" s="2">
        <f>Table1[[#This Row],[Discount]]/100</f>
        <v>0</v>
      </c>
    </row>
    <row r="267" spans="1:19" x14ac:dyDescent="0.3">
      <c r="A267">
        <v>10266</v>
      </c>
      <c r="B267" s="1" t="s">
        <v>392</v>
      </c>
      <c r="C267" t="s">
        <v>361</v>
      </c>
      <c r="D267" t="s">
        <v>74</v>
      </c>
      <c r="E267" t="s">
        <v>74</v>
      </c>
      <c r="F267" t="s">
        <v>25</v>
      </c>
      <c r="G267" t="s">
        <v>26</v>
      </c>
      <c r="H267" t="s">
        <v>71</v>
      </c>
      <c r="I267">
        <v>2</v>
      </c>
      <c r="J267">
        <v>6282</v>
      </c>
      <c r="K267">
        <v>956.96</v>
      </c>
      <c r="L267">
        <v>0</v>
      </c>
      <c r="M267" t="s">
        <v>49</v>
      </c>
      <c r="N267" t="str">
        <f>TEXT(Table1[[#This Row],[Order Date]],"MMMM")</f>
        <v>August</v>
      </c>
      <c r="O267">
        <f>YEAR(Table1[[#This Row],[Order Date]])</f>
        <v>2025</v>
      </c>
      <c r="P267" t="str">
        <f>"Q"&amp;ROUNDUP(MONTH(Table1[[#This Row],[Order Date]])/3,0)</f>
        <v>Q3</v>
      </c>
      <c r="Q267" s="3">
        <f>Table1[[#This Row],[Profit]]/Table1[[#This Row],[Sales]]</f>
        <v>0.15233365170327923</v>
      </c>
      <c r="R267" t="str">
        <f>IF(Table1[[#This Row],[Sales]]&lt;1000,"LOW",IF(Table1[[#This Row],[Sales]]&lt;5000,"MEDIUM","HIGH"))</f>
        <v>HIGH</v>
      </c>
      <c r="S267" s="2">
        <f>Table1[[#This Row],[Discount]]/100</f>
        <v>0</v>
      </c>
    </row>
    <row r="268" spans="1:19" x14ac:dyDescent="0.3">
      <c r="A268">
        <v>10267</v>
      </c>
      <c r="B268" s="1" t="s">
        <v>393</v>
      </c>
      <c r="C268" t="s">
        <v>394</v>
      </c>
      <c r="D268" t="s">
        <v>23</v>
      </c>
      <c r="E268" t="s">
        <v>24</v>
      </c>
      <c r="F268" t="s">
        <v>25</v>
      </c>
      <c r="G268" t="s">
        <v>26</v>
      </c>
      <c r="H268" t="s">
        <v>48</v>
      </c>
      <c r="I268">
        <v>7</v>
      </c>
      <c r="J268">
        <v>21512.75</v>
      </c>
      <c r="K268">
        <v>3521.81</v>
      </c>
      <c r="L268">
        <v>5</v>
      </c>
      <c r="M268" t="s">
        <v>28</v>
      </c>
      <c r="N268" t="str">
        <f>TEXT(Table1[[#This Row],[Order Date]],"MMMM")</f>
        <v>October</v>
      </c>
      <c r="O268">
        <f>YEAR(Table1[[#This Row],[Order Date]])</f>
        <v>2025</v>
      </c>
      <c r="P268" t="str">
        <f>"Q"&amp;ROUNDUP(MONTH(Table1[[#This Row],[Order Date]])/3,0)</f>
        <v>Q4</v>
      </c>
      <c r="Q268" s="3">
        <f>Table1[[#This Row],[Profit]]/Table1[[#This Row],[Sales]]</f>
        <v>0.16370803360797667</v>
      </c>
      <c r="R268" t="str">
        <f>IF(Table1[[#This Row],[Sales]]&lt;1000,"LOW",IF(Table1[[#This Row],[Sales]]&lt;5000,"MEDIUM","HIGH"))</f>
        <v>HIGH</v>
      </c>
      <c r="S268" s="2">
        <f>Table1[[#This Row],[Discount]]/100</f>
        <v>0.05</v>
      </c>
    </row>
    <row r="269" spans="1:19" x14ac:dyDescent="0.3">
      <c r="A269">
        <v>10268</v>
      </c>
      <c r="B269" s="1" t="s">
        <v>181</v>
      </c>
      <c r="C269" t="s">
        <v>275</v>
      </c>
      <c r="D269" t="s">
        <v>66</v>
      </c>
      <c r="E269" t="s">
        <v>16</v>
      </c>
      <c r="F269" t="s">
        <v>17</v>
      </c>
      <c r="G269" t="s">
        <v>75</v>
      </c>
      <c r="H269" t="s">
        <v>76</v>
      </c>
      <c r="I269">
        <v>1</v>
      </c>
      <c r="J269">
        <v>765</v>
      </c>
      <c r="K269">
        <v>152.4</v>
      </c>
      <c r="L269">
        <v>15</v>
      </c>
      <c r="M269" t="s">
        <v>49</v>
      </c>
      <c r="N269" t="str">
        <f>TEXT(Table1[[#This Row],[Order Date]],"MMMM")</f>
        <v>February</v>
      </c>
      <c r="O269">
        <f>YEAR(Table1[[#This Row],[Order Date]])</f>
        <v>2025</v>
      </c>
      <c r="P269" t="str">
        <f>"Q"&amp;ROUNDUP(MONTH(Table1[[#This Row],[Order Date]])/3,0)</f>
        <v>Q1</v>
      </c>
      <c r="Q269" s="3">
        <f>Table1[[#This Row],[Profit]]/Table1[[#This Row],[Sales]]</f>
        <v>0.19921568627450981</v>
      </c>
      <c r="R269" t="str">
        <f>IF(Table1[[#This Row],[Sales]]&lt;1000,"LOW",IF(Table1[[#This Row],[Sales]]&lt;5000,"MEDIUM","HIGH"))</f>
        <v>LOW</v>
      </c>
      <c r="S269" s="2">
        <f>Table1[[#This Row],[Discount]]/100</f>
        <v>0.15</v>
      </c>
    </row>
    <row r="270" spans="1:19" x14ac:dyDescent="0.3">
      <c r="A270">
        <v>10269</v>
      </c>
      <c r="B270" s="1" t="s">
        <v>205</v>
      </c>
      <c r="C270" t="s">
        <v>180</v>
      </c>
      <c r="D270" t="s">
        <v>15</v>
      </c>
      <c r="E270" t="s">
        <v>16</v>
      </c>
      <c r="F270" t="s">
        <v>31</v>
      </c>
      <c r="G270" t="s">
        <v>89</v>
      </c>
      <c r="H270" t="s">
        <v>90</v>
      </c>
      <c r="I270">
        <v>7</v>
      </c>
      <c r="J270">
        <v>19477.849999999999</v>
      </c>
      <c r="K270">
        <v>2015.5</v>
      </c>
      <c r="L270">
        <v>5</v>
      </c>
      <c r="M270" t="s">
        <v>49</v>
      </c>
      <c r="N270" t="str">
        <f>TEXT(Table1[[#This Row],[Order Date]],"MMMM")</f>
        <v>March</v>
      </c>
      <c r="O270">
        <f>YEAR(Table1[[#This Row],[Order Date]])</f>
        <v>2025</v>
      </c>
      <c r="P270" t="str">
        <f>"Q"&amp;ROUNDUP(MONTH(Table1[[#This Row],[Order Date]])/3,0)</f>
        <v>Q1</v>
      </c>
      <c r="Q270" s="3">
        <f>Table1[[#This Row],[Profit]]/Table1[[#This Row],[Sales]]</f>
        <v>0.10347651306484032</v>
      </c>
      <c r="R270" t="str">
        <f>IF(Table1[[#This Row],[Sales]]&lt;1000,"LOW",IF(Table1[[#This Row],[Sales]]&lt;5000,"MEDIUM","HIGH"))</f>
        <v>HIGH</v>
      </c>
      <c r="S270" s="2">
        <f>Table1[[#This Row],[Discount]]/100</f>
        <v>0.05</v>
      </c>
    </row>
    <row r="271" spans="1:19" x14ac:dyDescent="0.3">
      <c r="A271">
        <v>10270</v>
      </c>
      <c r="B271" s="1" t="s">
        <v>134</v>
      </c>
      <c r="C271" t="s">
        <v>311</v>
      </c>
      <c r="D271" t="s">
        <v>60</v>
      </c>
      <c r="E271" t="s">
        <v>61</v>
      </c>
      <c r="F271" t="s">
        <v>17</v>
      </c>
      <c r="G271" t="s">
        <v>75</v>
      </c>
      <c r="H271" t="s">
        <v>76</v>
      </c>
      <c r="I271">
        <v>7</v>
      </c>
      <c r="J271">
        <v>6339.2</v>
      </c>
      <c r="K271">
        <v>565.22</v>
      </c>
      <c r="L271">
        <v>20</v>
      </c>
      <c r="M271" t="s">
        <v>45</v>
      </c>
      <c r="N271" t="str">
        <f>TEXT(Table1[[#This Row],[Order Date]],"MMMM")</f>
        <v>July</v>
      </c>
      <c r="O271">
        <f>YEAR(Table1[[#This Row],[Order Date]])</f>
        <v>2025</v>
      </c>
      <c r="P271" t="str">
        <f>"Q"&amp;ROUNDUP(MONTH(Table1[[#This Row],[Order Date]])/3,0)</f>
        <v>Q3</v>
      </c>
      <c r="Q271" s="3">
        <f>Table1[[#This Row],[Profit]]/Table1[[#This Row],[Sales]]</f>
        <v>8.9162670368500771E-2</v>
      </c>
      <c r="R271" t="str">
        <f>IF(Table1[[#This Row],[Sales]]&lt;1000,"LOW",IF(Table1[[#This Row],[Sales]]&lt;5000,"MEDIUM","HIGH"))</f>
        <v>HIGH</v>
      </c>
      <c r="S271" s="2">
        <f>Table1[[#This Row],[Discount]]/100</f>
        <v>0.2</v>
      </c>
    </row>
    <row r="272" spans="1:19" x14ac:dyDescent="0.3">
      <c r="A272">
        <v>10271</v>
      </c>
      <c r="B272" s="1" t="s">
        <v>395</v>
      </c>
      <c r="C272" t="s">
        <v>396</v>
      </c>
      <c r="D272" t="s">
        <v>23</v>
      </c>
      <c r="E272" t="s">
        <v>24</v>
      </c>
      <c r="F272" t="s">
        <v>25</v>
      </c>
      <c r="G272" t="s">
        <v>26</v>
      </c>
      <c r="H272" t="s">
        <v>71</v>
      </c>
      <c r="I272">
        <v>6</v>
      </c>
      <c r="J272">
        <v>7951.5</v>
      </c>
      <c r="K272">
        <v>2130.5700000000002</v>
      </c>
      <c r="L272">
        <v>5</v>
      </c>
      <c r="M272" t="s">
        <v>20</v>
      </c>
      <c r="N272" t="str">
        <f>TEXT(Table1[[#This Row],[Order Date]],"MMMM")</f>
        <v>June</v>
      </c>
      <c r="O272">
        <f>YEAR(Table1[[#This Row],[Order Date]])</f>
        <v>2025</v>
      </c>
      <c r="P272" t="str">
        <f>"Q"&amp;ROUNDUP(MONTH(Table1[[#This Row],[Order Date]])/3,0)</f>
        <v>Q2</v>
      </c>
      <c r="Q272" s="3">
        <f>Table1[[#This Row],[Profit]]/Table1[[#This Row],[Sales]]</f>
        <v>0.26794567062818336</v>
      </c>
      <c r="R272" t="str">
        <f>IF(Table1[[#This Row],[Sales]]&lt;1000,"LOW",IF(Table1[[#This Row],[Sales]]&lt;5000,"MEDIUM","HIGH"))</f>
        <v>HIGH</v>
      </c>
      <c r="S272" s="2">
        <f>Table1[[#This Row],[Discount]]/100</f>
        <v>0.05</v>
      </c>
    </row>
    <row r="273" spans="1:19" x14ac:dyDescent="0.3">
      <c r="A273">
        <v>10272</v>
      </c>
      <c r="B273" s="1" t="s">
        <v>132</v>
      </c>
      <c r="C273" t="s">
        <v>397</v>
      </c>
      <c r="D273" t="s">
        <v>52</v>
      </c>
      <c r="E273" t="s">
        <v>53</v>
      </c>
      <c r="F273" t="s">
        <v>25</v>
      </c>
      <c r="G273" t="s">
        <v>95</v>
      </c>
      <c r="H273" t="s">
        <v>96</v>
      </c>
      <c r="I273">
        <v>8</v>
      </c>
      <c r="J273">
        <v>15837.2</v>
      </c>
      <c r="K273">
        <v>3079.39</v>
      </c>
      <c r="L273">
        <v>15</v>
      </c>
      <c r="M273" t="s">
        <v>49</v>
      </c>
      <c r="N273" t="str">
        <f>TEXT(Table1[[#This Row],[Order Date]],"MMMM")</f>
        <v>October</v>
      </c>
      <c r="O273">
        <f>YEAR(Table1[[#This Row],[Order Date]])</f>
        <v>2025</v>
      </c>
      <c r="P273" t="str">
        <f>"Q"&amp;ROUNDUP(MONTH(Table1[[#This Row],[Order Date]])/3,0)</f>
        <v>Q4</v>
      </c>
      <c r="Q273" s="3">
        <f>Table1[[#This Row],[Profit]]/Table1[[#This Row],[Sales]]</f>
        <v>0.19444030510443763</v>
      </c>
      <c r="R273" t="str">
        <f>IF(Table1[[#This Row],[Sales]]&lt;1000,"LOW",IF(Table1[[#This Row],[Sales]]&lt;5000,"MEDIUM","HIGH"))</f>
        <v>HIGH</v>
      </c>
      <c r="S273" s="2">
        <f>Table1[[#This Row],[Discount]]/100</f>
        <v>0.15</v>
      </c>
    </row>
    <row r="274" spans="1:19" x14ac:dyDescent="0.3">
      <c r="A274">
        <v>10273</v>
      </c>
      <c r="B274" s="1" t="s">
        <v>398</v>
      </c>
      <c r="C274" t="s">
        <v>297</v>
      </c>
      <c r="D274" t="s">
        <v>74</v>
      </c>
      <c r="E274" t="s">
        <v>74</v>
      </c>
      <c r="F274" t="s">
        <v>25</v>
      </c>
      <c r="G274" t="s">
        <v>26</v>
      </c>
      <c r="H274" t="s">
        <v>71</v>
      </c>
      <c r="I274">
        <v>6</v>
      </c>
      <c r="J274">
        <v>8385.6</v>
      </c>
      <c r="K274">
        <v>1821.71</v>
      </c>
      <c r="L274">
        <v>20</v>
      </c>
      <c r="M274" t="s">
        <v>45</v>
      </c>
      <c r="N274" t="str">
        <f>TEXT(Table1[[#This Row],[Order Date]],"MMMM")</f>
        <v>March</v>
      </c>
      <c r="O274">
        <f>YEAR(Table1[[#This Row],[Order Date]])</f>
        <v>2025</v>
      </c>
      <c r="P274" t="str">
        <f>"Q"&amp;ROUNDUP(MONTH(Table1[[#This Row],[Order Date]])/3,0)</f>
        <v>Q1</v>
      </c>
      <c r="Q274" s="3">
        <f>Table1[[#This Row],[Profit]]/Table1[[#This Row],[Sales]]</f>
        <v>0.21724265407365007</v>
      </c>
      <c r="R274" t="str">
        <f>IF(Table1[[#This Row],[Sales]]&lt;1000,"LOW",IF(Table1[[#This Row],[Sales]]&lt;5000,"MEDIUM","HIGH"))</f>
        <v>HIGH</v>
      </c>
      <c r="S274" s="2">
        <f>Table1[[#This Row],[Discount]]/100</f>
        <v>0.2</v>
      </c>
    </row>
    <row r="275" spans="1:19" x14ac:dyDescent="0.3">
      <c r="A275">
        <v>10274</v>
      </c>
      <c r="B275" s="1" t="s">
        <v>67</v>
      </c>
      <c r="C275" t="s">
        <v>94</v>
      </c>
      <c r="D275" t="s">
        <v>74</v>
      </c>
      <c r="E275" t="s">
        <v>74</v>
      </c>
      <c r="F275" t="s">
        <v>25</v>
      </c>
      <c r="G275" t="s">
        <v>26</v>
      </c>
      <c r="H275" t="s">
        <v>48</v>
      </c>
      <c r="I275">
        <v>7</v>
      </c>
      <c r="J275">
        <v>15479.1</v>
      </c>
      <c r="K275">
        <v>1933.48</v>
      </c>
      <c r="L275">
        <v>10</v>
      </c>
      <c r="M275" t="s">
        <v>28</v>
      </c>
      <c r="N275" t="str">
        <f>TEXT(Table1[[#This Row],[Order Date]],"MMMM")</f>
        <v>October</v>
      </c>
      <c r="O275">
        <f>YEAR(Table1[[#This Row],[Order Date]])</f>
        <v>2025</v>
      </c>
      <c r="P275" t="str">
        <f>"Q"&amp;ROUNDUP(MONTH(Table1[[#This Row],[Order Date]])/3,0)</f>
        <v>Q4</v>
      </c>
      <c r="Q275" s="3">
        <f>Table1[[#This Row],[Profit]]/Table1[[#This Row],[Sales]]</f>
        <v>0.12490907094081698</v>
      </c>
      <c r="R275" t="str">
        <f>IF(Table1[[#This Row],[Sales]]&lt;1000,"LOW",IF(Table1[[#This Row],[Sales]]&lt;5000,"MEDIUM","HIGH"))</f>
        <v>HIGH</v>
      </c>
      <c r="S275" s="2">
        <f>Table1[[#This Row],[Discount]]/100</f>
        <v>0.1</v>
      </c>
    </row>
    <row r="276" spans="1:19" x14ac:dyDescent="0.3">
      <c r="A276">
        <v>10275</v>
      </c>
      <c r="B276" s="1" t="s">
        <v>399</v>
      </c>
      <c r="C276" t="s">
        <v>357</v>
      </c>
      <c r="D276" t="s">
        <v>52</v>
      </c>
      <c r="E276" t="s">
        <v>53</v>
      </c>
      <c r="F276" t="s">
        <v>17</v>
      </c>
      <c r="G276" t="s">
        <v>75</v>
      </c>
      <c r="H276" t="s">
        <v>116</v>
      </c>
      <c r="I276">
        <v>8</v>
      </c>
      <c r="J276">
        <v>36024</v>
      </c>
      <c r="K276">
        <v>4023.9</v>
      </c>
      <c r="L276">
        <v>0</v>
      </c>
      <c r="M276" t="s">
        <v>20</v>
      </c>
      <c r="N276" t="str">
        <f>TEXT(Table1[[#This Row],[Order Date]],"MMMM")</f>
        <v>February</v>
      </c>
      <c r="O276">
        <f>YEAR(Table1[[#This Row],[Order Date]])</f>
        <v>2025</v>
      </c>
      <c r="P276" t="str">
        <f>"Q"&amp;ROUNDUP(MONTH(Table1[[#This Row],[Order Date]])/3,0)</f>
        <v>Q1</v>
      </c>
      <c r="Q276" s="3">
        <f>Table1[[#This Row],[Profit]]/Table1[[#This Row],[Sales]]</f>
        <v>0.11170053297801466</v>
      </c>
      <c r="R276" t="str">
        <f>IF(Table1[[#This Row],[Sales]]&lt;1000,"LOW",IF(Table1[[#This Row],[Sales]]&lt;5000,"MEDIUM","HIGH"))</f>
        <v>HIGH</v>
      </c>
      <c r="S276" s="2">
        <f>Table1[[#This Row],[Discount]]/100</f>
        <v>0</v>
      </c>
    </row>
    <row r="277" spans="1:19" x14ac:dyDescent="0.3">
      <c r="A277">
        <v>10276</v>
      </c>
      <c r="B277" s="1" t="s">
        <v>400</v>
      </c>
      <c r="C277" t="s">
        <v>302</v>
      </c>
      <c r="D277" t="s">
        <v>36</v>
      </c>
      <c r="E277" t="s">
        <v>37</v>
      </c>
      <c r="F277" t="s">
        <v>17</v>
      </c>
      <c r="G277" t="s">
        <v>75</v>
      </c>
      <c r="H277" t="s">
        <v>76</v>
      </c>
      <c r="I277">
        <v>6</v>
      </c>
      <c r="J277">
        <v>4763.3999999999996</v>
      </c>
      <c r="K277">
        <v>885.64</v>
      </c>
      <c r="L277">
        <v>15</v>
      </c>
      <c r="M277" t="s">
        <v>28</v>
      </c>
      <c r="N277" t="str">
        <f>TEXT(Table1[[#This Row],[Order Date]],"MMMM")</f>
        <v>June</v>
      </c>
      <c r="O277">
        <f>YEAR(Table1[[#This Row],[Order Date]])</f>
        <v>2025</v>
      </c>
      <c r="P277" t="str">
        <f>"Q"&amp;ROUNDUP(MONTH(Table1[[#This Row],[Order Date]])/3,0)</f>
        <v>Q2</v>
      </c>
      <c r="Q277" s="3">
        <f>Table1[[#This Row],[Profit]]/Table1[[#This Row],[Sales]]</f>
        <v>0.1859260192299618</v>
      </c>
      <c r="R277" t="str">
        <f>IF(Table1[[#This Row],[Sales]]&lt;1000,"LOW",IF(Table1[[#This Row],[Sales]]&lt;5000,"MEDIUM","HIGH"))</f>
        <v>MEDIUM</v>
      </c>
      <c r="S277" s="2">
        <f>Table1[[#This Row],[Discount]]/100</f>
        <v>0.15</v>
      </c>
    </row>
    <row r="278" spans="1:19" x14ac:dyDescent="0.3">
      <c r="A278">
        <v>10277</v>
      </c>
      <c r="B278" s="1" t="s">
        <v>130</v>
      </c>
      <c r="C278" t="s">
        <v>129</v>
      </c>
      <c r="D278" t="s">
        <v>74</v>
      </c>
      <c r="E278" t="s">
        <v>74</v>
      </c>
      <c r="F278" t="s">
        <v>31</v>
      </c>
      <c r="G278" t="s">
        <v>89</v>
      </c>
      <c r="H278" t="s">
        <v>90</v>
      </c>
      <c r="I278">
        <v>7</v>
      </c>
      <c r="J278">
        <v>25727.8</v>
      </c>
      <c r="K278">
        <v>4130.8599999999997</v>
      </c>
      <c r="L278">
        <v>15</v>
      </c>
      <c r="M278" t="s">
        <v>40</v>
      </c>
      <c r="N278" t="str">
        <f>TEXT(Table1[[#This Row],[Order Date]],"MMMM")</f>
        <v>July</v>
      </c>
      <c r="O278">
        <f>YEAR(Table1[[#This Row],[Order Date]])</f>
        <v>2025</v>
      </c>
      <c r="P278" t="str">
        <f>"Q"&amp;ROUNDUP(MONTH(Table1[[#This Row],[Order Date]])/3,0)</f>
        <v>Q3</v>
      </c>
      <c r="Q278" s="3">
        <f>Table1[[#This Row],[Profit]]/Table1[[#This Row],[Sales]]</f>
        <v>0.1605601722650207</v>
      </c>
      <c r="R278" t="str">
        <f>IF(Table1[[#This Row],[Sales]]&lt;1000,"LOW",IF(Table1[[#This Row],[Sales]]&lt;5000,"MEDIUM","HIGH"))</f>
        <v>HIGH</v>
      </c>
      <c r="S278" s="2">
        <f>Table1[[#This Row],[Discount]]/100</f>
        <v>0.15</v>
      </c>
    </row>
    <row r="279" spans="1:19" x14ac:dyDescent="0.3">
      <c r="A279">
        <v>10278</v>
      </c>
      <c r="B279" s="1" t="s">
        <v>401</v>
      </c>
      <c r="C279" t="s">
        <v>361</v>
      </c>
      <c r="D279" t="s">
        <v>66</v>
      </c>
      <c r="E279" t="s">
        <v>16</v>
      </c>
      <c r="F279" t="s">
        <v>17</v>
      </c>
      <c r="G279" t="s">
        <v>43</v>
      </c>
      <c r="H279" t="s">
        <v>44</v>
      </c>
      <c r="I279">
        <v>6</v>
      </c>
      <c r="J279">
        <v>20106</v>
      </c>
      <c r="K279">
        <v>5759.13</v>
      </c>
      <c r="L279">
        <v>0</v>
      </c>
      <c r="M279" t="s">
        <v>40</v>
      </c>
      <c r="N279" t="str">
        <f>TEXT(Table1[[#This Row],[Order Date]],"MMMM")</f>
        <v>September</v>
      </c>
      <c r="O279">
        <f>YEAR(Table1[[#This Row],[Order Date]])</f>
        <v>2025</v>
      </c>
      <c r="P279" t="str">
        <f>"Q"&amp;ROUNDUP(MONTH(Table1[[#This Row],[Order Date]])/3,0)</f>
        <v>Q3</v>
      </c>
      <c r="Q279" s="3">
        <f>Table1[[#This Row],[Profit]]/Table1[[#This Row],[Sales]]</f>
        <v>0.28643837660399879</v>
      </c>
      <c r="R279" t="str">
        <f>IF(Table1[[#This Row],[Sales]]&lt;1000,"LOW",IF(Table1[[#This Row],[Sales]]&lt;5000,"MEDIUM","HIGH"))</f>
        <v>HIGH</v>
      </c>
      <c r="S279" s="2">
        <f>Table1[[#This Row],[Discount]]/100</f>
        <v>0</v>
      </c>
    </row>
    <row r="280" spans="1:19" x14ac:dyDescent="0.3">
      <c r="A280">
        <v>10279</v>
      </c>
      <c r="B280" s="1" t="s">
        <v>402</v>
      </c>
      <c r="C280" t="s">
        <v>158</v>
      </c>
      <c r="D280" t="s">
        <v>60</v>
      </c>
      <c r="E280" t="s">
        <v>61</v>
      </c>
      <c r="F280" t="s">
        <v>31</v>
      </c>
      <c r="G280" t="s">
        <v>32</v>
      </c>
      <c r="H280" t="s">
        <v>33</v>
      </c>
      <c r="I280">
        <v>4</v>
      </c>
      <c r="J280">
        <v>15636</v>
      </c>
      <c r="K280">
        <v>2456.31</v>
      </c>
      <c r="L280">
        <v>0</v>
      </c>
      <c r="M280" t="s">
        <v>28</v>
      </c>
      <c r="N280" t="str">
        <f>TEXT(Table1[[#This Row],[Order Date]],"MMMM")</f>
        <v>May</v>
      </c>
      <c r="O280">
        <f>YEAR(Table1[[#This Row],[Order Date]])</f>
        <v>2025</v>
      </c>
      <c r="P280" t="str">
        <f>"Q"&amp;ROUNDUP(MONTH(Table1[[#This Row],[Order Date]])/3,0)</f>
        <v>Q2</v>
      </c>
      <c r="Q280" s="3">
        <f>Table1[[#This Row],[Profit]]/Table1[[#This Row],[Sales]]</f>
        <v>0.15709324635456637</v>
      </c>
      <c r="R280" t="str">
        <f>IF(Table1[[#This Row],[Sales]]&lt;1000,"LOW",IF(Table1[[#This Row],[Sales]]&lt;5000,"MEDIUM","HIGH"))</f>
        <v>HIGH</v>
      </c>
      <c r="S280" s="2">
        <f>Table1[[#This Row],[Discount]]/100</f>
        <v>0</v>
      </c>
    </row>
    <row r="281" spans="1:19" x14ac:dyDescent="0.3">
      <c r="A281">
        <v>10280</v>
      </c>
      <c r="B281" s="1" t="s">
        <v>393</v>
      </c>
      <c r="C281" t="s">
        <v>144</v>
      </c>
      <c r="D281" t="s">
        <v>15</v>
      </c>
      <c r="E281" t="s">
        <v>16</v>
      </c>
      <c r="F281" t="s">
        <v>25</v>
      </c>
      <c r="G281" t="s">
        <v>95</v>
      </c>
      <c r="H281" t="s">
        <v>96</v>
      </c>
      <c r="I281">
        <v>2</v>
      </c>
      <c r="J281">
        <v>1544</v>
      </c>
      <c r="K281">
        <v>365.64</v>
      </c>
      <c r="L281">
        <v>0</v>
      </c>
      <c r="M281" t="s">
        <v>20</v>
      </c>
      <c r="N281" t="str">
        <f>TEXT(Table1[[#This Row],[Order Date]],"MMMM")</f>
        <v>October</v>
      </c>
      <c r="O281">
        <f>YEAR(Table1[[#This Row],[Order Date]])</f>
        <v>2025</v>
      </c>
      <c r="P281" t="str">
        <f>"Q"&amp;ROUNDUP(MONTH(Table1[[#This Row],[Order Date]])/3,0)</f>
        <v>Q4</v>
      </c>
      <c r="Q281" s="3">
        <f>Table1[[#This Row],[Profit]]/Table1[[#This Row],[Sales]]</f>
        <v>0.23681347150259066</v>
      </c>
      <c r="R281" t="str">
        <f>IF(Table1[[#This Row],[Sales]]&lt;1000,"LOW",IF(Table1[[#This Row],[Sales]]&lt;5000,"MEDIUM","HIGH"))</f>
        <v>MEDIUM</v>
      </c>
      <c r="S281" s="2">
        <f>Table1[[#This Row],[Discount]]/100</f>
        <v>0</v>
      </c>
    </row>
    <row r="282" spans="1:19" x14ac:dyDescent="0.3">
      <c r="A282">
        <v>10281</v>
      </c>
      <c r="B282" s="1" t="s">
        <v>403</v>
      </c>
      <c r="C282" t="s">
        <v>341</v>
      </c>
      <c r="D282" t="s">
        <v>60</v>
      </c>
      <c r="E282" t="s">
        <v>61</v>
      </c>
      <c r="F282" t="s">
        <v>17</v>
      </c>
      <c r="G282" t="s">
        <v>18</v>
      </c>
      <c r="H282" t="s">
        <v>19</v>
      </c>
      <c r="I282">
        <v>3</v>
      </c>
      <c r="J282">
        <v>4725.3</v>
      </c>
      <c r="K282">
        <v>775.71</v>
      </c>
      <c r="L282">
        <v>5</v>
      </c>
      <c r="M282" t="s">
        <v>49</v>
      </c>
      <c r="N282" t="str">
        <f>TEXT(Table1[[#This Row],[Order Date]],"MMMM")</f>
        <v>September</v>
      </c>
      <c r="O282">
        <f>YEAR(Table1[[#This Row],[Order Date]])</f>
        <v>2025</v>
      </c>
      <c r="P282" t="str">
        <f>"Q"&amp;ROUNDUP(MONTH(Table1[[#This Row],[Order Date]])/3,0)</f>
        <v>Q3</v>
      </c>
      <c r="Q282" s="3">
        <f>Table1[[#This Row],[Profit]]/Table1[[#This Row],[Sales]]</f>
        <v>0.1641610056504349</v>
      </c>
      <c r="R282" t="str">
        <f>IF(Table1[[#This Row],[Sales]]&lt;1000,"LOW",IF(Table1[[#This Row],[Sales]]&lt;5000,"MEDIUM","HIGH"))</f>
        <v>MEDIUM</v>
      </c>
      <c r="S282" s="2">
        <f>Table1[[#This Row],[Discount]]/100</f>
        <v>0.05</v>
      </c>
    </row>
    <row r="283" spans="1:19" x14ac:dyDescent="0.3">
      <c r="A283">
        <v>10282</v>
      </c>
      <c r="B283" s="1" t="s">
        <v>404</v>
      </c>
      <c r="C283" t="s">
        <v>405</v>
      </c>
      <c r="D283" t="s">
        <v>56</v>
      </c>
      <c r="E283" t="s">
        <v>57</v>
      </c>
      <c r="F283" t="s">
        <v>25</v>
      </c>
      <c r="G283" t="s">
        <v>95</v>
      </c>
      <c r="H283" t="s">
        <v>96</v>
      </c>
      <c r="I283">
        <v>6</v>
      </c>
      <c r="J283">
        <v>4788</v>
      </c>
      <c r="K283">
        <v>857.81</v>
      </c>
      <c r="L283">
        <v>5</v>
      </c>
      <c r="M283" t="s">
        <v>28</v>
      </c>
      <c r="N283" t="str">
        <f>TEXT(Table1[[#This Row],[Order Date]],"MMMM")</f>
        <v>May</v>
      </c>
      <c r="O283">
        <f>YEAR(Table1[[#This Row],[Order Date]])</f>
        <v>2025</v>
      </c>
      <c r="P283" t="str">
        <f>"Q"&amp;ROUNDUP(MONTH(Table1[[#This Row],[Order Date]])/3,0)</f>
        <v>Q2</v>
      </c>
      <c r="Q283" s="3">
        <f>Table1[[#This Row],[Profit]]/Table1[[#This Row],[Sales]]</f>
        <v>0.17915831244778613</v>
      </c>
      <c r="R283" t="str">
        <f>IF(Table1[[#This Row],[Sales]]&lt;1000,"LOW",IF(Table1[[#This Row],[Sales]]&lt;5000,"MEDIUM","HIGH"))</f>
        <v>MEDIUM</v>
      </c>
      <c r="S283" s="2">
        <f>Table1[[#This Row],[Discount]]/100</f>
        <v>0.05</v>
      </c>
    </row>
    <row r="284" spans="1:19" x14ac:dyDescent="0.3">
      <c r="A284">
        <v>10283</v>
      </c>
      <c r="B284" s="1" t="s">
        <v>406</v>
      </c>
      <c r="C284" t="s">
        <v>407</v>
      </c>
      <c r="D284" t="s">
        <v>36</v>
      </c>
      <c r="E284" t="s">
        <v>37</v>
      </c>
      <c r="F284" t="s">
        <v>17</v>
      </c>
      <c r="G284" t="s">
        <v>75</v>
      </c>
      <c r="H284" t="s">
        <v>116</v>
      </c>
      <c r="I284">
        <v>3</v>
      </c>
      <c r="J284">
        <v>8871.4500000000007</v>
      </c>
      <c r="K284">
        <v>1797.44</v>
      </c>
      <c r="L284">
        <v>15</v>
      </c>
      <c r="M284" t="s">
        <v>20</v>
      </c>
      <c r="N284" t="str">
        <f>TEXT(Table1[[#This Row],[Order Date]],"MMMM")</f>
        <v>April</v>
      </c>
      <c r="O284">
        <f>YEAR(Table1[[#This Row],[Order Date]])</f>
        <v>2025</v>
      </c>
      <c r="P284" t="str">
        <f>"Q"&amp;ROUNDUP(MONTH(Table1[[#This Row],[Order Date]])/3,0)</f>
        <v>Q2</v>
      </c>
      <c r="Q284" s="3">
        <f>Table1[[#This Row],[Profit]]/Table1[[#This Row],[Sales]]</f>
        <v>0.20260949450202614</v>
      </c>
      <c r="R284" t="str">
        <f>IF(Table1[[#This Row],[Sales]]&lt;1000,"LOW",IF(Table1[[#This Row],[Sales]]&lt;5000,"MEDIUM","HIGH"))</f>
        <v>HIGH</v>
      </c>
      <c r="S284" s="2">
        <f>Table1[[#This Row],[Discount]]/100</f>
        <v>0.15</v>
      </c>
    </row>
    <row r="285" spans="1:19" x14ac:dyDescent="0.3">
      <c r="A285">
        <v>10284</v>
      </c>
      <c r="B285" s="1" t="s">
        <v>408</v>
      </c>
      <c r="C285" t="s">
        <v>160</v>
      </c>
      <c r="D285" t="s">
        <v>52</v>
      </c>
      <c r="E285" t="s">
        <v>53</v>
      </c>
      <c r="F285" t="s">
        <v>31</v>
      </c>
      <c r="G285" t="s">
        <v>124</v>
      </c>
      <c r="H285" t="s">
        <v>125</v>
      </c>
      <c r="I285">
        <v>6</v>
      </c>
      <c r="J285">
        <v>8461.7999999999993</v>
      </c>
      <c r="K285">
        <v>1619.44</v>
      </c>
      <c r="L285">
        <v>10</v>
      </c>
      <c r="M285" t="s">
        <v>40</v>
      </c>
      <c r="N285" t="str">
        <f>TEXT(Table1[[#This Row],[Order Date]],"MMMM")</f>
        <v>December</v>
      </c>
      <c r="O285">
        <f>YEAR(Table1[[#This Row],[Order Date]])</f>
        <v>2025</v>
      </c>
      <c r="P285" t="str">
        <f>"Q"&amp;ROUNDUP(MONTH(Table1[[#This Row],[Order Date]])/3,0)</f>
        <v>Q4</v>
      </c>
      <c r="Q285" s="3">
        <f>Table1[[#This Row],[Profit]]/Table1[[#This Row],[Sales]]</f>
        <v>0.19138244817887448</v>
      </c>
      <c r="R285" t="str">
        <f>IF(Table1[[#This Row],[Sales]]&lt;1000,"LOW",IF(Table1[[#This Row],[Sales]]&lt;5000,"MEDIUM","HIGH"))</f>
        <v>HIGH</v>
      </c>
      <c r="S285" s="2">
        <f>Table1[[#This Row],[Discount]]/100</f>
        <v>0.1</v>
      </c>
    </row>
    <row r="286" spans="1:19" x14ac:dyDescent="0.3">
      <c r="A286">
        <v>10285</v>
      </c>
      <c r="B286" s="1" t="s">
        <v>247</v>
      </c>
      <c r="C286" t="s">
        <v>201</v>
      </c>
      <c r="D286" t="s">
        <v>66</v>
      </c>
      <c r="E286" t="s">
        <v>16</v>
      </c>
      <c r="F286" t="s">
        <v>31</v>
      </c>
      <c r="G286" t="s">
        <v>124</v>
      </c>
      <c r="H286" t="s">
        <v>125</v>
      </c>
      <c r="I286">
        <v>1</v>
      </c>
      <c r="J286">
        <v>505</v>
      </c>
      <c r="K286">
        <v>71.03</v>
      </c>
      <c r="L286">
        <v>0</v>
      </c>
      <c r="M286" t="s">
        <v>20</v>
      </c>
      <c r="N286" t="str">
        <f>TEXT(Table1[[#This Row],[Order Date]],"MMMM")</f>
        <v>May</v>
      </c>
      <c r="O286">
        <f>YEAR(Table1[[#This Row],[Order Date]])</f>
        <v>2025</v>
      </c>
      <c r="P286" t="str">
        <f>"Q"&amp;ROUNDUP(MONTH(Table1[[#This Row],[Order Date]])/3,0)</f>
        <v>Q2</v>
      </c>
      <c r="Q286" s="3">
        <f>Table1[[#This Row],[Profit]]/Table1[[#This Row],[Sales]]</f>
        <v>0.14065346534653467</v>
      </c>
      <c r="R286" t="str">
        <f>IF(Table1[[#This Row],[Sales]]&lt;1000,"LOW",IF(Table1[[#This Row],[Sales]]&lt;5000,"MEDIUM","HIGH"))</f>
        <v>LOW</v>
      </c>
      <c r="S286" s="2">
        <f>Table1[[#This Row],[Discount]]/100</f>
        <v>0</v>
      </c>
    </row>
    <row r="287" spans="1:19" x14ac:dyDescent="0.3">
      <c r="A287">
        <v>10286</v>
      </c>
      <c r="B287" s="1" t="s">
        <v>409</v>
      </c>
      <c r="C287" t="s">
        <v>330</v>
      </c>
      <c r="D287" t="s">
        <v>52</v>
      </c>
      <c r="E287" t="s">
        <v>53</v>
      </c>
      <c r="F287" t="s">
        <v>25</v>
      </c>
      <c r="G287" t="s">
        <v>95</v>
      </c>
      <c r="H287" t="s">
        <v>96</v>
      </c>
      <c r="I287">
        <v>5</v>
      </c>
      <c r="J287">
        <v>12252</v>
      </c>
      <c r="K287">
        <v>2079.37</v>
      </c>
      <c r="L287">
        <v>20</v>
      </c>
      <c r="M287" t="s">
        <v>49</v>
      </c>
      <c r="N287" t="str">
        <f>TEXT(Table1[[#This Row],[Order Date]],"MMMM")</f>
        <v>January</v>
      </c>
      <c r="O287">
        <f>YEAR(Table1[[#This Row],[Order Date]])</f>
        <v>2025</v>
      </c>
      <c r="P287" t="str">
        <f>"Q"&amp;ROUNDUP(MONTH(Table1[[#This Row],[Order Date]])/3,0)</f>
        <v>Q1</v>
      </c>
      <c r="Q287" s="3">
        <f>Table1[[#This Row],[Profit]]/Table1[[#This Row],[Sales]]</f>
        <v>0.16971678093372511</v>
      </c>
      <c r="R287" t="str">
        <f>IF(Table1[[#This Row],[Sales]]&lt;1000,"LOW",IF(Table1[[#This Row],[Sales]]&lt;5000,"MEDIUM","HIGH"))</f>
        <v>HIGH</v>
      </c>
      <c r="S287" s="2">
        <f>Table1[[#This Row],[Discount]]/100</f>
        <v>0.2</v>
      </c>
    </row>
    <row r="288" spans="1:19" x14ac:dyDescent="0.3">
      <c r="A288">
        <v>10287</v>
      </c>
      <c r="B288" s="1" t="s">
        <v>410</v>
      </c>
      <c r="C288" t="s">
        <v>105</v>
      </c>
      <c r="D288" t="s">
        <v>36</v>
      </c>
      <c r="E288" t="s">
        <v>37</v>
      </c>
      <c r="F288" t="s">
        <v>25</v>
      </c>
      <c r="G288" t="s">
        <v>26</v>
      </c>
      <c r="H288" t="s">
        <v>71</v>
      </c>
      <c r="I288">
        <v>8</v>
      </c>
      <c r="J288">
        <v>16178.4</v>
      </c>
      <c r="K288">
        <v>1423.55</v>
      </c>
      <c r="L288">
        <v>10</v>
      </c>
      <c r="M288" t="s">
        <v>40</v>
      </c>
      <c r="N288" t="str">
        <f>TEXT(Table1[[#This Row],[Order Date]],"MMMM")</f>
        <v>August</v>
      </c>
      <c r="O288">
        <f>YEAR(Table1[[#This Row],[Order Date]])</f>
        <v>2025</v>
      </c>
      <c r="P288" t="str">
        <f>"Q"&amp;ROUNDUP(MONTH(Table1[[#This Row],[Order Date]])/3,0)</f>
        <v>Q3</v>
      </c>
      <c r="Q288" s="3">
        <f>Table1[[#This Row],[Profit]]/Table1[[#This Row],[Sales]]</f>
        <v>8.7990777827226418E-2</v>
      </c>
      <c r="R288" t="str">
        <f>IF(Table1[[#This Row],[Sales]]&lt;1000,"LOW",IF(Table1[[#This Row],[Sales]]&lt;5000,"MEDIUM","HIGH"))</f>
        <v>HIGH</v>
      </c>
      <c r="S288" s="2">
        <f>Table1[[#This Row],[Discount]]/100</f>
        <v>0.1</v>
      </c>
    </row>
    <row r="289" spans="1:19" x14ac:dyDescent="0.3">
      <c r="A289">
        <v>10288</v>
      </c>
      <c r="B289" s="1" t="s">
        <v>348</v>
      </c>
      <c r="C289" t="s">
        <v>177</v>
      </c>
      <c r="D289" t="s">
        <v>36</v>
      </c>
      <c r="E289" t="s">
        <v>37</v>
      </c>
      <c r="F289" t="s">
        <v>25</v>
      </c>
      <c r="G289" t="s">
        <v>26</v>
      </c>
      <c r="H289" t="s">
        <v>48</v>
      </c>
      <c r="I289">
        <v>8</v>
      </c>
      <c r="J289">
        <v>30544.400000000001</v>
      </c>
      <c r="K289">
        <v>8434.44</v>
      </c>
      <c r="L289">
        <v>5</v>
      </c>
      <c r="M289" t="s">
        <v>28</v>
      </c>
      <c r="N289" t="str">
        <f>TEXT(Table1[[#This Row],[Order Date]],"MMMM")</f>
        <v>December</v>
      </c>
      <c r="O289">
        <f>YEAR(Table1[[#This Row],[Order Date]])</f>
        <v>2025</v>
      </c>
      <c r="P289" t="str">
        <f>"Q"&amp;ROUNDUP(MONTH(Table1[[#This Row],[Order Date]])/3,0)</f>
        <v>Q4</v>
      </c>
      <c r="Q289" s="3">
        <f>Table1[[#This Row],[Profit]]/Table1[[#This Row],[Sales]]</f>
        <v>0.27613703330234018</v>
      </c>
      <c r="R289" t="str">
        <f>IF(Table1[[#This Row],[Sales]]&lt;1000,"LOW",IF(Table1[[#This Row],[Sales]]&lt;5000,"MEDIUM","HIGH"))</f>
        <v>HIGH</v>
      </c>
      <c r="S289" s="2">
        <f>Table1[[#This Row],[Discount]]/100</f>
        <v>0.05</v>
      </c>
    </row>
    <row r="290" spans="1:19" x14ac:dyDescent="0.3">
      <c r="A290">
        <v>10289</v>
      </c>
      <c r="B290" s="1" t="s">
        <v>411</v>
      </c>
      <c r="C290" t="s">
        <v>412</v>
      </c>
      <c r="D290" t="s">
        <v>15</v>
      </c>
      <c r="E290" t="s">
        <v>16</v>
      </c>
      <c r="F290" t="s">
        <v>25</v>
      </c>
      <c r="G290" t="s">
        <v>95</v>
      </c>
      <c r="H290" t="s">
        <v>96</v>
      </c>
      <c r="I290">
        <v>4</v>
      </c>
      <c r="J290">
        <v>9743.2000000000007</v>
      </c>
      <c r="K290">
        <v>2470.3000000000002</v>
      </c>
      <c r="L290">
        <v>5</v>
      </c>
      <c r="M290" t="s">
        <v>28</v>
      </c>
      <c r="N290" t="str">
        <f>TEXT(Table1[[#This Row],[Order Date]],"MMMM")</f>
        <v>June</v>
      </c>
      <c r="O290">
        <f>YEAR(Table1[[#This Row],[Order Date]])</f>
        <v>2025</v>
      </c>
      <c r="P290" t="str">
        <f>"Q"&amp;ROUNDUP(MONTH(Table1[[#This Row],[Order Date]])/3,0)</f>
        <v>Q2</v>
      </c>
      <c r="Q290" s="3">
        <f>Table1[[#This Row],[Profit]]/Table1[[#This Row],[Sales]]</f>
        <v>0.25354093111092862</v>
      </c>
      <c r="R290" t="str">
        <f>IF(Table1[[#This Row],[Sales]]&lt;1000,"LOW",IF(Table1[[#This Row],[Sales]]&lt;5000,"MEDIUM","HIGH"))</f>
        <v>HIGH</v>
      </c>
      <c r="S290" s="2">
        <f>Table1[[#This Row],[Discount]]/100</f>
        <v>0.05</v>
      </c>
    </row>
    <row r="291" spans="1:19" x14ac:dyDescent="0.3">
      <c r="A291">
        <v>10290</v>
      </c>
      <c r="B291" s="1" t="s">
        <v>294</v>
      </c>
      <c r="C291" t="s">
        <v>413</v>
      </c>
      <c r="D291" t="s">
        <v>60</v>
      </c>
      <c r="E291" t="s">
        <v>61</v>
      </c>
      <c r="F291" t="s">
        <v>31</v>
      </c>
      <c r="G291" t="s">
        <v>89</v>
      </c>
      <c r="H291" t="s">
        <v>90</v>
      </c>
      <c r="I291">
        <v>5</v>
      </c>
      <c r="J291">
        <v>2023</v>
      </c>
      <c r="K291">
        <v>432.8</v>
      </c>
      <c r="L291">
        <v>15</v>
      </c>
      <c r="M291" t="s">
        <v>45</v>
      </c>
      <c r="N291" t="str">
        <f>TEXT(Table1[[#This Row],[Order Date]],"MMMM")</f>
        <v>August</v>
      </c>
      <c r="O291">
        <f>YEAR(Table1[[#This Row],[Order Date]])</f>
        <v>2025</v>
      </c>
      <c r="P291" t="str">
        <f>"Q"&amp;ROUNDUP(MONTH(Table1[[#This Row],[Order Date]])/3,0)</f>
        <v>Q3</v>
      </c>
      <c r="Q291" s="3">
        <f>Table1[[#This Row],[Profit]]/Table1[[#This Row],[Sales]]</f>
        <v>0.21393969352446862</v>
      </c>
      <c r="R291" t="str">
        <f>IF(Table1[[#This Row],[Sales]]&lt;1000,"LOW",IF(Table1[[#This Row],[Sales]]&lt;5000,"MEDIUM","HIGH"))</f>
        <v>MEDIUM</v>
      </c>
      <c r="S291" s="2">
        <f>Table1[[#This Row],[Discount]]/100</f>
        <v>0.15</v>
      </c>
    </row>
    <row r="292" spans="1:19" x14ac:dyDescent="0.3">
      <c r="A292">
        <v>10291</v>
      </c>
      <c r="B292" s="1" t="s">
        <v>355</v>
      </c>
      <c r="C292" t="s">
        <v>353</v>
      </c>
      <c r="D292" t="s">
        <v>66</v>
      </c>
      <c r="E292" t="s">
        <v>16</v>
      </c>
      <c r="F292" t="s">
        <v>25</v>
      </c>
      <c r="G292" t="s">
        <v>26</v>
      </c>
      <c r="H292" t="s">
        <v>71</v>
      </c>
      <c r="I292">
        <v>3</v>
      </c>
      <c r="J292">
        <v>6120</v>
      </c>
      <c r="K292">
        <v>530.64</v>
      </c>
      <c r="L292">
        <v>15</v>
      </c>
      <c r="M292" t="s">
        <v>49</v>
      </c>
      <c r="N292" t="str">
        <f>TEXT(Table1[[#This Row],[Order Date]],"MMMM")</f>
        <v>February</v>
      </c>
      <c r="O292">
        <f>YEAR(Table1[[#This Row],[Order Date]])</f>
        <v>2025</v>
      </c>
      <c r="P292" t="str">
        <f>"Q"&amp;ROUNDUP(MONTH(Table1[[#This Row],[Order Date]])/3,0)</f>
        <v>Q1</v>
      </c>
      <c r="Q292" s="3">
        <f>Table1[[#This Row],[Profit]]/Table1[[#This Row],[Sales]]</f>
        <v>8.6705882352941174E-2</v>
      </c>
      <c r="R292" t="str">
        <f>IF(Table1[[#This Row],[Sales]]&lt;1000,"LOW",IF(Table1[[#This Row],[Sales]]&lt;5000,"MEDIUM","HIGH"))</f>
        <v>HIGH</v>
      </c>
      <c r="S292" s="2">
        <f>Table1[[#This Row],[Discount]]/100</f>
        <v>0.15</v>
      </c>
    </row>
    <row r="293" spans="1:19" x14ac:dyDescent="0.3">
      <c r="A293">
        <v>10292</v>
      </c>
      <c r="B293" s="1" t="s">
        <v>126</v>
      </c>
      <c r="C293" t="s">
        <v>413</v>
      </c>
      <c r="D293" t="s">
        <v>52</v>
      </c>
      <c r="E293" t="s">
        <v>53</v>
      </c>
      <c r="F293" t="s">
        <v>17</v>
      </c>
      <c r="G293" t="s">
        <v>18</v>
      </c>
      <c r="H293" t="s">
        <v>19</v>
      </c>
      <c r="I293">
        <v>5</v>
      </c>
      <c r="J293">
        <v>17750</v>
      </c>
      <c r="K293">
        <v>5088.68</v>
      </c>
      <c r="L293">
        <v>0</v>
      </c>
      <c r="M293" t="s">
        <v>20</v>
      </c>
      <c r="N293" t="str">
        <f>TEXT(Table1[[#This Row],[Order Date]],"MMMM")</f>
        <v>June</v>
      </c>
      <c r="O293">
        <f>YEAR(Table1[[#This Row],[Order Date]])</f>
        <v>2025</v>
      </c>
      <c r="P293" t="str">
        <f>"Q"&amp;ROUNDUP(MONTH(Table1[[#This Row],[Order Date]])/3,0)</f>
        <v>Q2</v>
      </c>
      <c r="Q293" s="3">
        <f>Table1[[#This Row],[Profit]]/Table1[[#This Row],[Sales]]</f>
        <v>0.28668619718309862</v>
      </c>
      <c r="R293" t="str">
        <f>IF(Table1[[#This Row],[Sales]]&lt;1000,"LOW",IF(Table1[[#This Row],[Sales]]&lt;5000,"MEDIUM","HIGH"))</f>
        <v>HIGH</v>
      </c>
      <c r="S293" s="2">
        <f>Table1[[#This Row],[Discount]]/100</f>
        <v>0</v>
      </c>
    </row>
    <row r="294" spans="1:19" x14ac:dyDescent="0.3">
      <c r="A294">
        <v>10293</v>
      </c>
      <c r="B294" s="1" t="s">
        <v>414</v>
      </c>
      <c r="C294" t="s">
        <v>415</v>
      </c>
      <c r="D294" t="s">
        <v>60</v>
      </c>
      <c r="E294" t="s">
        <v>61</v>
      </c>
      <c r="F294" t="s">
        <v>25</v>
      </c>
      <c r="G294" t="s">
        <v>95</v>
      </c>
      <c r="H294" t="s">
        <v>96</v>
      </c>
      <c r="I294">
        <v>5</v>
      </c>
      <c r="J294">
        <v>10480</v>
      </c>
      <c r="K294">
        <v>2445.64</v>
      </c>
      <c r="L294">
        <v>0</v>
      </c>
      <c r="M294" t="s">
        <v>49</v>
      </c>
      <c r="N294" t="str">
        <f>TEXT(Table1[[#This Row],[Order Date]],"MMMM")</f>
        <v>October</v>
      </c>
      <c r="O294">
        <f>YEAR(Table1[[#This Row],[Order Date]])</f>
        <v>2025</v>
      </c>
      <c r="P294" t="str">
        <f>"Q"&amp;ROUNDUP(MONTH(Table1[[#This Row],[Order Date]])/3,0)</f>
        <v>Q4</v>
      </c>
      <c r="Q294" s="3">
        <f>Table1[[#This Row],[Profit]]/Table1[[#This Row],[Sales]]</f>
        <v>0.23336259541984733</v>
      </c>
      <c r="R294" t="str">
        <f>IF(Table1[[#This Row],[Sales]]&lt;1000,"LOW",IF(Table1[[#This Row],[Sales]]&lt;5000,"MEDIUM","HIGH"))</f>
        <v>HIGH</v>
      </c>
      <c r="S294" s="2">
        <f>Table1[[#This Row],[Discount]]/100</f>
        <v>0</v>
      </c>
    </row>
    <row r="295" spans="1:19" x14ac:dyDescent="0.3">
      <c r="A295">
        <v>10294</v>
      </c>
      <c r="B295" s="1" t="s">
        <v>416</v>
      </c>
      <c r="C295" t="s">
        <v>417</v>
      </c>
      <c r="D295" t="s">
        <v>15</v>
      </c>
      <c r="E295" t="s">
        <v>16</v>
      </c>
      <c r="F295" t="s">
        <v>31</v>
      </c>
      <c r="G295" t="s">
        <v>32</v>
      </c>
      <c r="H295" t="s">
        <v>33</v>
      </c>
      <c r="I295">
        <v>1</v>
      </c>
      <c r="J295">
        <v>3236.8</v>
      </c>
      <c r="K295">
        <v>539.17999999999995</v>
      </c>
      <c r="L295">
        <v>15</v>
      </c>
      <c r="M295" t="s">
        <v>28</v>
      </c>
      <c r="N295" t="str">
        <f>TEXT(Table1[[#This Row],[Order Date]],"MMMM")</f>
        <v>March</v>
      </c>
      <c r="O295">
        <f>YEAR(Table1[[#This Row],[Order Date]])</f>
        <v>2025</v>
      </c>
      <c r="P295" t="str">
        <f>"Q"&amp;ROUNDUP(MONTH(Table1[[#This Row],[Order Date]])/3,0)</f>
        <v>Q1</v>
      </c>
      <c r="Q295" s="3">
        <f>Table1[[#This Row],[Profit]]/Table1[[#This Row],[Sales]]</f>
        <v>0.16657810182896685</v>
      </c>
      <c r="R295" t="str">
        <f>IF(Table1[[#This Row],[Sales]]&lt;1000,"LOW",IF(Table1[[#This Row],[Sales]]&lt;5000,"MEDIUM","HIGH"))</f>
        <v>MEDIUM</v>
      </c>
      <c r="S295" s="2">
        <f>Table1[[#This Row],[Discount]]/100</f>
        <v>0.15</v>
      </c>
    </row>
    <row r="296" spans="1:19" x14ac:dyDescent="0.3">
      <c r="A296">
        <v>10295</v>
      </c>
      <c r="B296" s="1" t="s">
        <v>254</v>
      </c>
      <c r="C296" t="s">
        <v>297</v>
      </c>
      <c r="D296" t="s">
        <v>52</v>
      </c>
      <c r="E296" t="s">
        <v>53</v>
      </c>
      <c r="F296" t="s">
        <v>17</v>
      </c>
      <c r="G296" t="s">
        <v>18</v>
      </c>
      <c r="H296" t="s">
        <v>19</v>
      </c>
      <c r="I296">
        <v>5</v>
      </c>
      <c r="J296">
        <v>14292</v>
      </c>
      <c r="K296">
        <v>3873.69</v>
      </c>
      <c r="L296">
        <v>10</v>
      </c>
      <c r="M296" t="s">
        <v>45</v>
      </c>
      <c r="N296" t="str">
        <f>TEXT(Table1[[#This Row],[Order Date]],"MMMM")</f>
        <v>March</v>
      </c>
      <c r="O296">
        <f>YEAR(Table1[[#This Row],[Order Date]])</f>
        <v>2025</v>
      </c>
      <c r="P296" t="str">
        <f>"Q"&amp;ROUNDUP(MONTH(Table1[[#This Row],[Order Date]])/3,0)</f>
        <v>Q1</v>
      </c>
      <c r="Q296" s="3">
        <f>Table1[[#This Row],[Profit]]/Table1[[#This Row],[Sales]]</f>
        <v>0.2710390428211587</v>
      </c>
      <c r="R296" t="str">
        <f>IF(Table1[[#This Row],[Sales]]&lt;1000,"LOW",IF(Table1[[#This Row],[Sales]]&lt;5000,"MEDIUM","HIGH"))</f>
        <v>HIGH</v>
      </c>
      <c r="S296" s="2">
        <f>Table1[[#This Row],[Discount]]/100</f>
        <v>0.1</v>
      </c>
    </row>
    <row r="297" spans="1:19" x14ac:dyDescent="0.3">
      <c r="A297">
        <v>10296</v>
      </c>
      <c r="B297" s="1" t="s">
        <v>296</v>
      </c>
      <c r="C297" t="s">
        <v>223</v>
      </c>
      <c r="D297" t="s">
        <v>23</v>
      </c>
      <c r="E297" t="s">
        <v>24</v>
      </c>
      <c r="F297" t="s">
        <v>17</v>
      </c>
      <c r="G297" t="s">
        <v>43</v>
      </c>
      <c r="H297" t="s">
        <v>44</v>
      </c>
      <c r="I297">
        <v>6</v>
      </c>
      <c r="J297">
        <v>20553.599999999999</v>
      </c>
      <c r="K297">
        <v>5747.24</v>
      </c>
      <c r="L297">
        <v>20</v>
      </c>
      <c r="M297" t="s">
        <v>49</v>
      </c>
      <c r="N297" t="str">
        <f>TEXT(Table1[[#This Row],[Order Date]],"MMMM")</f>
        <v>February</v>
      </c>
      <c r="O297">
        <f>YEAR(Table1[[#This Row],[Order Date]])</f>
        <v>2025</v>
      </c>
      <c r="P297" t="str">
        <f>"Q"&amp;ROUNDUP(MONTH(Table1[[#This Row],[Order Date]])/3,0)</f>
        <v>Q1</v>
      </c>
      <c r="Q297" s="3">
        <f>Table1[[#This Row],[Profit]]/Table1[[#This Row],[Sales]]</f>
        <v>0.27962206134205203</v>
      </c>
      <c r="R297" t="str">
        <f>IF(Table1[[#This Row],[Sales]]&lt;1000,"LOW",IF(Table1[[#This Row],[Sales]]&lt;5000,"MEDIUM","HIGH"))</f>
        <v>HIGH</v>
      </c>
      <c r="S297" s="2">
        <f>Table1[[#This Row],[Discount]]/100</f>
        <v>0.2</v>
      </c>
    </row>
    <row r="298" spans="1:19" x14ac:dyDescent="0.3">
      <c r="A298">
        <v>10297</v>
      </c>
      <c r="B298" s="1" t="s">
        <v>418</v>
      </c>
      <c r="C298" t="s">
        <v>419</v>
      </c>
      <c r="D298" t="s">
        <v>36</v>
      </c>
      <c r="E298" t="s">
        <v>37</v>
      </c>
      <c r="F298" t="s">
        <v>31</v>
      </c>
      <c r="G298" t="s">
        <v>32</v>
      </c>
      <c r="H298" t="s">
        <v>33</v>
      </c>
      <c r="I298">
        <v>4</v>
      </c>
      <c r="J298">
        <v>10162.6</v>
      </c>
      <c r="K298">
        <v>2865.74</v>
      </c>
      <c r="L298">
        <v>15</v>
      </c>
      <c r="M298" t="s">
        <v>28</v>
      </c>
      <c r="N298" t="str">
        <f>TEXT(Table1[[#This Row],[Order Date]],"MMMM")</f>
        <v>November</v>
      </c>
      <c r="O298">
        <f>YEAR(Table1[[#This Row],[Order Date]])</f>
        <v>2025</v>
      </c>
      <c r="P298" t="str">
        <f>"Q"&amp;ROUNDUP(MONTH(Table1[[#This Row],[Order Date]])/3,0)</f>
        <v>Q4</v>
      </c>
      <c r="Q298" s="3">
        <f>Table1[[#This Row],[Profit]]/Table1[[#This Row],[Sales]]</f>
        <v>0.28198886111821775</v>
      </c>
      <c r="R298" t="str">
        <f>IF(Table1[[#This Row],[Sales]]&lt;1000,"LOW",IF(Table1[[#This Row],[Sales]]&lt;5000,"MEDIUM","HIGH"))</f>
        <v>HIGH</v>
      </c>
      <c r="S298" s="2">
        <f>Table1[[#This Row],[Discount]]/100</f>
        <v>0.15</v>
      </c>
    </row>
    <row r="299" spans="1:19" x14ac:dyDescent="0.3">
      <c r="A299">
        <v>10298</v>
      </c>
      <c r="B299" s="1" t="s">
        <v>227</v>
      </c>
      <c r="C299" t="s">
        <v>374</v>
      </c>
      <c r="D299" t="s">
        <v>66</v>
      </c>
      <c r="E299" t="s">
        <v>16</v>
      </c>
      <c r="F299" t="s">
        <v>17</v>
      </c>
      <c r="G299" t="s">
        <v>43</v>
      </c>
      <c r="H299" t="s">
        <v>44</v>
      </c>
      <c r="I299">
        <v>6</v>
      </c>
      <c r="J299">
        <v>22230</v>
      </c>
      <c r="K299">
        <v>4421.12</v>
      </c>
      <c r="L299">
        <v>5</v>
      </c>
      <c r="M299" t="s">
        <v>49</v>
      </c>
      <c r="N299" t="str">
        <f>TEXT(Table1[[#This Row],[Order Date]],"MMMM")</f>
        <v>October</v>
      </c>
      <c r="O299">
        <f>YEAR(Table1[[#This Row],[Order Date]])</f>
        <v>2025</v>
      </c>
      <c r="P299" t="str">
        <f>"Q"&amp;ROUNDUP(MONTH(Table1[[#This Row],[Order Date]])/3,0)</f>
        <v>Q4</v>
      </c>
      <c r="Q299" s="3">
        <f>Table1[[#This Row],[Profit]]/Table1[[#This Row],[Sales]]</f>
        <v>0.19888079172289699</v>
      </c>
      <c r="R299" t="str">
        <f>IF(Table1[[#This Row],[Sales]]&lt;1000,"LOW",IF(Table1[[#This Row],[Sales]]&lt;5000,"MEDIUM","HIGH"))</f>
        <v>HIGH</v>
      </c>
      <c r="S299" s="2">
        <f>Table1[[#This Row],[Discount]]/100</f>
        <v>0.05</v>
      </c>
    </row>
    <row r="300" spans="1:19" x14ac:dyDescent="0.3">
      <c r="A300">
        <v>10299</v>
      </c>
      <c r="B300" s="1" t="s">
        <v>171</v>
      </c>
      <c r="C300" t="s">
        <v>420</v>
      </c>
      <c r="D300" t="s">
        <v>23</v>
      </c>
      <c r="E300" t="s">
        <v>24</v>
      </c>
      <c r="F300" t="s">
        <v>25</v>
      </c>
      <c r="G300" t="s">
        <v>95</v>
      </c>
      <c r="H300" t="s">
        <v>96</v>
      </c>
      <c r="I300">
        <v>6</v>
      </c>
      <c r="J300">
        <v>5842.8</v>
      </c>
      <c r="K300">
        <v>767.74</v>
      </c>
      <c r="L300">
        <v>10</v>
      </c>
      <c r="M300" t="s">
        <v>45</v>
      </c>
      <c r="N300" t="str">
        <f>TEXT(Table1[[#This Row],[Order Date]],"MMMM")</f>
        <v>August</v>
      </c>
      <c r="O300">
        <f>YEAR(Table1[[#This Row],[Order Date]])</f>
        <v>2025</v>
      </c>
      <c r="P300" t="str">
        <f>"Q"&amp;ROUNDUP(MONTH(Table1[[#This Row],[Order Date]])/3,0)</f>
        <v>Q3</v>
      </c>
      <c r="Q300" s="3">
        <f>Table1[[#This Row],[Profit]]/Table1[[#This Row],[Sales]]</f>
        <v>0.13139932908879304</v>
      </c>
      <c r="R300" t="str">
        <f>IF(Table1[[#This Row],[Sales]]&lt;1000,"LOW",IF(Table1[[#This Row],[Sales]]&lt;5000,"MEDIUM","HIGH"))</f>
        <v>HIGH</v>
      </c>
      <c r="S300" s="2">
        <f>Table1[[#This Row],[Discount]]/100</f>
        <v>0.1</v>
      </c>
    </row>
    <row r="301" spans="1:19" x14ac:dyDescent="0.3">
      <c r="A301">
        <v>10300</v>
      </c>
      <c r="B301" s="1" t="s">
        <v>421</v>
      </c>
      <c r="C301" t="s">
        <v>422</v>
      </c>
      <c r="D301" t="s">
        <v>66</v>
      </c>
      <c r="E301" t="s">
        <v>16</v>
      </c>
      <c r="F301" t="s">
        <v>31</v>
      </c>
      <c r="G301" t="s">
        <v>124</v>
      </c>
      <c r="H301" t="s">
        <v>125</v>
      </c>
      <c r="I301">
        <v>7</v>
      </c>
      <c r="J301">
        <v>18403.349999999999</v>
      </c>
      <c r="K301">
        <v>5274.87</v>
      </c>
      <c r="L301">
        <v>15</v>
      </c>
      <c r="M301" t="s">
        <v>28</v>
      </c>
      <c r="N301" t="str">
        <f>TEXT(Table1[[#This Row],[Order Date]],"MMMM")</f>
        <v>April</v>
      </c>
      <c r="O301">
        <f>YEAR(Table1[[#This Row],[Order Date]])</f>
        <v>2025</v>
      </c>
      <c r="P301" t="str">
        <f>"Q"&amp;ROUNDUP(MONTH(Table1[[#This Row],[Order Date]])/3,0)</f>
        <v>Q2</v>
      </c>
      <c r="Q301" s="3">
        <f>Table1[[#This Row],[Profit]]/Table1[[#This Row],[Sales]]</f>
        <v>0.28662553285135589</v>
      </c>
      <c r="R301" t="str">
        <f>IF(Table1[[#This Row],[Sales]]&lt;1000,"LOW",IF(Table1[[#This Row],[Sales]]&lt;5000,"MEDIUM","HIGH"))</f>
        <v>HIGH</v>
      </c>
      <c r="S301" s="2">
        <f>Table1[[#This Row],[Discount]]/100</f>
        <v>0.15</v>
      </c>
    </row>
    <row r="302" spans="1:19" x14ac:dyDescent="0.3">
      <c r="A302">
        <v>10301</v>
      </c>
      <c r="B302" s="1" t="s">
        <v>423</v>
      </c>
      <c r="C302" t="s">
        <v>424</v>
      </c>
      <c r="D302" t="s">
        <v>23</v>
      </c>
      <c r="E302" t="s">
        <v>24</v>
      </c>
      <c r="F302" t="s">
        <v>17</v>
      </c>
      <c r="G302" t="s">
        <v>18</v>
      </c>
      <c r="H302" t="s">
        <v>19</v>
      </c>
      <c r="I302">
        <v>8</v>
      </c>
      <c r="J302">
        <v>36640</v>
      </c>
      <c r="K302">
        <v>9431.9699999999993</v>
      </c>
      <c r="L302">
        <v>0</v>
      </c>
      <c r="M302" t="s">
        <v>28</v>
      </c>
      <c r="N302" t="str">
        <f>TEXT(Table1[[#This Row],[Order Date]],"MMMM")</f>
        <v>April</v>
      </c>
      <c r="O302">
        <f>YEAR(Table1[[#This Row],[Order Date]])</f>
        <v>2025</v>
      </c>
      <c r="P302" t="str">
        <f>"Q"&amp;ROUNDUP(MONTH(Table1[[#This Row],[Order Date]])/3,0)</f>
        <v>Q2</v>
      </c>
      <c r="Q302" s="3">
        <f>Table1[[#This Row],[Profit]]/Table1[[#This Row],[Sales]]</f>
        <v>0.2574227620087336</v>
      </c>
      <c r="R302" t="str">
        <f>IF(Table1[[#This Row],[Sales]]&lt;1000,"LOW",IF(Table1[[#This Row],[Sales]]&lt;5000,"MEDIUM","HIGH"))</f>
        <v>HIGH</v>
      </c>
      <c r="S302" s="2">
        <f>Table1[[#This Row],[Discount]]/100</f>
        <v>0</v>
      </c>
    </row>
    <row r="303" spans="1:19" x14ac:dyDescent="0.3">
      <c r="A303">
        <v>10302</v>
      </c>
      <c r="B303" s="1" t="s">
        <v>425</v>
      </c>
      <c r="C303" t="s">
        <v>275</v>
      </c>
      <c r="D303" t="s">
        <v>66</v>
      </c>
      <c r="E303" t="s">
        <v>16</v>
      </c>
      <c r="F303" t="s">
        <v>25</v>
      </c>
      <c r="G303" t="s">
        <v>26</v>
      </c>
      <c r="H303" t="s">
        <v>71</v>
      </c>
      <c r="I303">
        <v>3</v>
      </c>
      <c r="J303">
        <v>10700.1</v>
      </c>
      <c r="K303">
        <v>1833.58</v>
      </c>
      <c r="L303">
        <v>10</v>
      </c>
      <c r="M303" t="s">
        <v>28</v>
      </c>
      <c r="N303" t="str">
        <f>TEXT(Table1[[#This Row],[Order Date]],"MMMM")</f>
        <v>November</v>
      </c>
      <c r="O303">
        <f>YEAR(Table1[[#This Row],[Order Date]])</f>
        <v>2025</v>
      </c>
      <c r="P303" t="str">
        <f>"Q"&amp;ROUNDUP(MONTH(Table1[[#This Row],[Order Date]])/3,0)</f>
        <v>Q4</v>
      </c>
      <c r="Q303" s="3">
        <f>Table1[[#This Row],[Profit]]/Table1[[#This Row],[Sales]]</f>
        <v>0.17136101531761383</v>
      </c>
      <c r="R303" t="str">
        <f>IF(Table1[[#This Row],[Sales]]&lt;1000,"LOW",IF(Table1[[#This Row],[Sales]]&lt;5000,"MEDIUM","HIGH"))</f>
        <v>HIGH</v>
      </c>
      <c r="S303" s="2">
        <f>Table1[[#This Row],[Discount]]/100</f>
        <v>0.1</v>
      </c>
    </row>
    <row r="304" spans="1:19" x14ac:dyDescent="0.3">
      <c r="A304">
        <v>10303</v>
      </c>
      <c r="B304" s="1" t="s">
        <v>389</v>
      </c>
      <c r="C304" t="s">
        <v>55</v>
      </c>
      <c r="D304" t="s">
        <v>15</v>
      </c>
      <c r="E304" t="s">
        <v>16</v>
      </c>
      <c r="F304" t="s">
        <v>31</v>
      </c>
      <c r="G304" t="s">
        <v>38</v>
      </c>
      <c r="H304" t="s">
        <v>39</v>
      </c>
      <c r="I304">
        <v>7</v>
      </c>
      <c r="J304">
        <v>19712</v>
      </c>
      <c r="K304">
        <v>4622.37</v>
      </c>
      <c r="L304">
        <v>20</v>
      </c>
      <c r="M304" t="s">
        <v>40</v>
      </c>
      <c r="N304" t="str">
        <f>TEXT(Table1[[#This Row],[Order Date]],"MMMM")</f>
        <v>April</v>
      </c>
      <c r="O304">
        <f>YEAR(Table1[[#This Row],[Order Date]])</f>
        <v>2025</v>
      </c>
      <c r="P304" t="str">
        <f>"Q"&amp;ROUNDUP(MONTH(Table1[[#This Row],[Order Date]])/3,0)</f>
        <v>Q2</v>
      </c>
      <c r="Q304" s="3">
        <f>Table1[[#This Row],[Profit]]/Table1[[#This Row],[Sales]]</f>
        <v>0.23449523133116881</v>
      </c>
      <c r="R304" t="str">
        <f>IF(Table1[[#This Row],[Sales]]&lt;1000,"LOW",IF(Table1[[#This Row],[Sales]]&lt;5000,"MEDIUM","HIGH"))</f>
        <v>HIGH</v>
      </c>
      <c r="S304" s="2">
        <f>Table1[[#This Row],[Discount]]/100</f>
        <v>0.2</v>
      </c>
    </row>
    <row r="305" spans="1:19" x14ac:dyDescent="0.3">
      <c r="A305">
        <v>10304</v>
      </c>
      <c r="B305" s="1" t="s">
        <v>259</v>
      </c>
      <c r="C305" t="s">
        <v>253</v>
      </c>
      <c r="D305" t="s">
        <v>66</v>
      </c>
      <c r="E305" t="s">
        <v>16</v>
      </c>
      <c r="F305" t="s">
        <v>31</v>
      </c>
      <c r="G305" t="s">
        <v>38</v>
      </c>
      <c r="H305" t="s">
        <v>39</v>
      </c>
      <c r="I305">
        <v>3</v>
      </c>
      <c r="J305">
        <v>9412.2000000000007</v>
      </c>
      <c r="K305">
        <v>2535.8000000000002</v>
      </c>
      <c r="L305">
        <v>10</v>
      </c>
      <c r="M305" t="s">
        <v>45</v>
      </c>
      <c r="N305" t="str">
        <f>TEXT(Table1[[#This Row],[Order Date]],"MMMM")</f>
        <v>April</v>
      </c>
      <c r="O305">
        <f>YEAR(Table1[[#This Row],[Order Date]])</f>
        <v>2025</v>
      </c>
      <c r="P305" t="str">
        <f>"Q"&amp;ROUNDUP(MONTH(Table1[[#This Row],[Order Date]])/3,0)</f>
        <v>Q2</v>
      </c>
      <c r="Q305" s="3">
        <f>Table1[[#This Row],[Profit]]/Table1[[#This Row],[Sales]]</f>
        <v>0.26941628949661078</v>
      </c>
      <c r="R305" t="str">
        <f>IF(Table1[[#This Row],[Sales]]&lt;1000,"LOW",IF(Table1[[#This Row],[Sales]]&lt;5000,"MEDIUM","HIGH"))</f>
        <v>HIGH</v>
      </c>
      <c r="S305" s="2">
        <f>Table1[[#This Row],[Discount]]/100</f>
        <v>0.1</v>
      </c>
    </row>
    <row r="306" spans="1:19" x14ac:dyDescent="0.3">
      <c r="A306">
        <v>10305</v>
      </c>
      <c r="B306" s="1" t="s">
        <v>426</v>
      </c>
      <c r="C306" t="s">
        <v>288</v>
      </c>
      <c r="D306" t="s">
        <v>74</v>
      </c>
      <c r="E306" t="s">
        <v>74</v>
      </c>
      <c r="F306" t="s">
        <v>17</v>
      </c>
      <c r="G306" t="s">
        <v>18</v>
      </c>
      <c r="H306" t="s">
        <v>19</v>
      </c>
      <c r="I306">
        <v>6</v>
      </c>
      <c r="J306">
        <v>13926.6</v>
      </c>
      <c r="K306">
        <v>1883.85</v>
      </c>
      <c r="L306">
        <v>10</v>
      </c>
      <c r="M306" t="s">
        <v>45</v>
      </c>
      <c r="N306" t="str">
        <f>TEXT(Table1[[#This Row],[Order Date]],"MMMM")</f>
        <v>September</v>
      </c>
      <c r="O306">
        <f>YEAR(Table1[[#This Row],[Order Date]])</f>
        <v>2025</v>
      </c>
      <c r="P306" t="str">
        <f>"Q"&amp;ROUNDUP(MONTH(Table1[[#This Row],[Order Date]])/3,0)</f>
        <v>Q3</v>
      </c>
      <c r="Q306" s="3">
        <f>Table1[[#This Row],[Profit]]/Table1[[#This Row],[Sales]]</f>
        <v>0.13526991512644865</v>
      </c>
      <c r="R306" t="str">
        <f>IF(Table1[[#This Row],[Sales]]&lt;1000,"LOW",IF(Table1[[#This Row],[Sales]]&lt;5000,"MEDIUM","HIGH"))</f>
        <v>HIGH</v>
      </c>
      <c r="S306" s="2">
        <f>Table1[[#This Row],[Discount]]/100</f>
        <v>0.1</v>
      </c>
    </row>
    <row r="307" spans="1:19" x14ac:dyDescent="0.3">
      <c r="A307">
        <v>10306</v>
      </c>
      <c r="B307" s="1" t="s">
        <v>264</v>
      </c>
      <c r="C307" t="s">
        <v>225</v>
      </c>
      <c r="D307" t="s">
        <v>15</v>
      </c>
      <c r="E307" t="s">
        <v>16</v>
      </c>
      <c r="F307" t="s">
        <v>25</v>
      </c>
      <c r="G307" t="s">
        <v>26</v>
      </c>
      <c r="H307" t="s">
        <v>27</v>
      </c>
      <c r="I307">
        <v>6</v>
      </c>
      <c r="J307">
        <v>17312.400000000001</v>
      </c>
      <c r="K307">
        <v>3199.96</v>
      </c>
      <c r="L307">
        <v>10</v>
      </c>
      <c r="M307" t="s">
        <v>40</v>
      </c>
      <c r="N307" t="str">
        <f>TEXT(Table1[[#This Row],[Order Date]],"MMMM")</f>
        <v>March</v>
      </c>
      <c r="O307">
        <f>YEAR(Table1[[#This Row],[Order Date]])</f>
        <v>2025</v>
      </c>
      <c r="P307" t="str">
        <f>"Q"&amp;ROUNDUP(MONTH(Table1[[#This Row],[Order Date]])/3,0)</f>
        <v>Q1</v>
      </c>
      <c r="Q307" s="3">
        <f>Table1[[#This Row],[Profit]]/Table1[[#This Row],[Sales]]</f>
        <v>0.18483630230355119</v>
      </c>
      <c r="R307" t="str">
        <f>IF(Table1[[#This Row],[Sales]]&lt;1000,"LOW",IF(Table1[[#This Row],[Sales]]&lt;5000,"MEDIUM","HIGH"))</f>
        <v>HIGH</v>
      </c>
      <c r="S307" s="2">
        <f>Table1[[#This Row],[Discount]]/100</f>
        <v>0.1</v>
      </c>
    </row>
    <row r="308" spans="1:19" x14ac:dyDescent="0.3">
      <c r="A308">
        <v>10307</v>
      </c>
      <c r="B308" s="1" t="s">
        <v>256</v>
      </c>
      <c r="C308" t="s">
        <v>121</v>
      </c>
      <c r="D308" t="s">
        <v>15</v>
      </c>
      <c r="E308" t="s">
        <v>16</v>
      </c>
      <c r="F308" t="s">
        <v>25</v>
      </c>
      <c r="G308" t="s">
        <v>26</v>
      </c>
      <c r="H308" t="s">
        <v>71</v>
      </c>
      <c r="I308">
        <v>6</v>
      </c>
      <c r="J308">
        <v>20616</v>
      </c>
      <c r="K308">
        <v>5517.31</v>
      </c>
      <c r="L308">
        <v>20</v>
      </c>
      <c r="M308" t="s">
        <v>40</v>
      </c>
      <c r="N308" t="str">
        <f>TEXT(Table1[[#This Row],[Order Date]],"MMMM")</f>
        <v>January</v>
      </c>
      <c r="O308">
        <f>YEAR(Table1[[#This Row],[Order Date]])</f>
        <v>2025</v>
      </c>
      <c r="P308" t="str">
        <f>"Q"&amp;ROUNDUP(MONTH(Table1[[#This Row],[Order Date]])/3,0)</f>
        <v>Q1</v>
      </c>
      <c r="Q308" s="3">
        <f>Table1[[#This Row],[Profit]]/Table1[[#This Row],[Sales]]</f>
        <v>0.26762272021730699</v>
      </c>
      <c r="R308" t="str">
        <f>IF(Table1[[#This Row],[Sales]]&lt;1000,"LOW",IF(Table1[[#This Row],[Sales]]&lt;5000,"MEDIUM","HIGH"))</f>
        <v>HIGH</v>
      </c>
      <c r="S308" s="2">
        <f>Table1[[#This Row],[Discount]]/100</f>
        <v>0.2</v>
      </c>
    </row>
    <row r="309" spans="1:19" x14ac:dyDescent="0.3">
      <c r="A309">
        <v>10308</v>
      </c>
      <c r="B309" s="1" t="s">
        <v>427</v>
      </c>
      <c r="C309" t="s">
        <v>212</v>
      </c>
      <c r="D309" t="s">
        <v>74</v>
      </c>
      <c r="E309" t="s">
        <v>74</v>
      </c>
      <c r="F309" t="s">
        <v>31</v>
      </c>
      <c r="G309" t="s">
        <v>89</v>
      </c>
      <c r="H309" t="s">
        <v>90</v>
      </c>
      <c r="I309">
        <v>7</v>
      </c>
      <c r="J309">
        <v>4129.3</v>
      </c>
      <c r="K309">
        <v>911.56</v>
      </c>
      <c r="L309">
        <v>15</v>
      </c>
      <c r="M309" t="s">
        <v>20</v>
      </c>
      <c r="N309" t="str">
        <f>TEXT(Table1[[#This Row],[Order Date]],"MMMM")</f>
        <v>December</v>
      </c>
      <c r="O309">
        <f>YEAR(Table1[[#This Row],[Order Date]])</f>
        <v>2025</v>
      </c>
      <c r="P309" t="str">
        <f>"Q"&amp;ROUNDUP(MONTH(Table1[[#This Row],[Order Date]])/3,0)</f>
        <v>Q4</v>
      </c>
      <c r="Q309" s="3">
        <f>Table1[[#This Row],[Profit]]/Table1[[#This Row],[Sales]]</f>
        <v>0.22075412297483832</v>
      </c>
      <c r="R309" t="str">
        <f>IF(Table1[[#This Row],[Sales]]&lt;1000,"LOW",IF(Table1[[#This Row],[Sales]]&lt;5000,"MEDIUM","HIGH"))</f>
        <v>MEDIUM</v>
      </c>
      <c r="S309" s="2">
        <f>Table1[[#This Row],[Discount]]/100</f>
        <v>0.15</v>
      </c>
    </row>
    <row r="310" spans="1:19" x14ac:dyDescent="0.3">
      <c r="A310">
        <v>10309</v>
      </c>
      <c r="B310" s="1" t="s">
        <v>204</v>
      </c>
      <c r="C310" t="s">
        <v>428</v>
      </c>
      <c r="D310" t="s">
        <v>56</v>
      </c>
      <c r="E310" t="s">
        <v>57</v>
      </c>
      <c r="F310" t="s">
        <v>25</v>
      </c>
      <c r="G310" t="s">
        <v>26</v>
      </c>
      <c r="H310" t="s">
        <v>48</v>
      </c>
      <c r="I310">
        <v>1</v>
      </c>
      <c r="J310">
        <v>1005</v>
      </c>
      <c r="K310">
        <v>210.53</v>
      </c>
      <c r="L310">
        <v>0</v>
      </c>
      <c r="M310" t="s">
        <v>28</v>
      </c>
      <c r="N310" t="str">
        <f>TEXT(Table1[[#This Row],[Order Date]],"MMMM")</f>
        <v>December</v>
      </c>
      <c r="O310">
        <f>YEAR(Table1[[#This Row],[Order Date]])</f>
        <v>2025</v>
      </c>
      <c r="P310" t="str">
        <f>"Q"&amp;ROUNDUP(MONTH(Table1[[#This Row],[Order Date]])/3,0)</f>
        <v>Q4</v>
      </c>
      <c r="Q310" s="3">
        <f>Table1[[#This Row],[Profit]]/Table1[[#This Row],[Sales]]</f>
        <v>0.20948258706467662</v>
      </c>
      <c r="R310" t="str">
        <f>IF(Table1[[#This Row],[Sales]]&lt;1000,"LOW",IF(Table1[[#This Row],[Sales]]&lt;5000,"MEDIUM","HIGH"))</f>
        <v>MEDIUM</v>
      </c>
      <c r="S310" s="2">
        <f>Table1[[#This Row],[Discount]]/100</f>
        <v>0</v>
      </c>
    </row>
    <row r="311" spans="1:19" x14ac:dyDescent="0.3">
      <c r="A311">
        <v>10310</v>
      </c>
      <c r="B311" s="1" t="s">
        <v>429</v>
      </c>
      <c r="C311" t="s">
        <v>288</v>
      </c>
      <c r="D311" t="s">
        <v>56</v>
      </c>
      <c r="E311" t="s">
        <v>57</v>
      </c>
      <c r="F311" t="s">
        <v>25</v>
      </c>
      <c r="G311" t="s">
        <v>26</v>
      </c>
      <c r="H311" t="s">
        <v>71</v>
      </c>
      <c r="I311">
        <v>5</v>
      </c>
      <c r="J311">
        <v>2052</v>
      </c>
      <c r="K311">
        <v>450.91</v>
      </c>
      <c r="L311">
        <v>5</v>
      </c>
      <c r="M311" t="s">
        <v>20</v>
      </c>
      <c r="N311" t="str">
        <f>TEXT(Table1[[#This Row],[Order Date]],"MMMM")</f>
        <v>September</v>
      </c>
      <c r="O311">
        <f>YEAR(Table1[[#This Row],[Order Date]])</f>
        <v>2025</v>
      </c>
      <c r="P311" t="str">
        <f>"Q"&amp;ROUNDUP(MONTH(Table1[[#This Row],[Order Date]])/3,0)</f>
        <v>Q3</v>
      </c>
      <c r="Q311" s="3">
        <f>Table1[[#This Row],[Profit]]/Table1[[#This Row],[Sales]]</f>
        <v>0.21974171539961015</v>
      </c>
      <c r="R311" t="str">
        <f>IF(Table1[[#This Row],[Sales]]&lt;1000,"LOW",IF(Table1[[#This Row],[Sales]]&lt;5000,"MEDIUM","HIGH"))</f>
        <v>MEDIUM</v>
      </c>
      <c r="S311" s="2">
        <f>Table1[[#This Row],[Discount]]/100</f>
        <v>0.05</v>
      </c>
    </row>
    <row r="312" spans="1:19" x14ac:dyDescent="0.3">
      <c r="A312">
        <v>10311</v>
      </c>
      <c r="B312" s="1" t="s">
        <v>178</v>
      </c>
      <c r="C312" t="s">
        <v>111</v>
      </c>
      <c r="D312" t="s">
        <v>56</v>
      </c>
      <c r="E312" t="s">
        <v>57</v>
      </c>
      <c r="F312" t="s">
        <v>31</v>
      </c>
      <c r="G312" t="s">
        <v>32</v>
      </c>
      <c r="H312" t="s">
        <v>33</v>
      </c>
      <c r="I312">
        <v>7</v>
      </c>
      <c r="J312">
        <v>27701.1</v>
      </c>
      <c r="K312">
        <v>5187.68</v>
      </c>
      <c r="L312">
        <v>10</v>
      </c>
      <c r="M312" t="s">
        <v>49</v>
      </c>
      <c r="N312" t="str">
        <f>TEXT(Table1[[#This Row],[Order Date]],"MMMM")</f>
        <v>January</v>
      </c>
      <c r="O312">
        <f>YEAR(Table1[[#This Row],[Order Date]])</f>
        <v>2025</v>
      </c>
      <c r="P312" t="str">
        <f>"Q"&amp;ROUNDUP(MONTH(Table1[[#This Row],[Order Date]])/3,0)</f>
        <v>Q1</v>
      </c>
      <c r="Q312" s="3">
        <f>Table1[[#This Row],[Profit]]/Table1[[#This Row],[Sales]]</f>
        <v>0.18727342957499885</v>
      </c>
      <c r="R312" t="str">
        <f>IF(Table1[[#This Row],[Sales]]&lt;1000,"LOW",IF(Table1[[#This Row],[Sales]]&lt;5000,"MEDIUM","HIGH"))</f>
        <v>HIGH</v>
      </c>
      <c r="S312" s="2">
        <f>Table1[[#This Row],[Discount]]/100</f>
        <v>0.1</v>
      </c>
    </row>
    <row r="313" spans="1:19" x14ac:dyDescent="0.3">
      <c r="A313">
        <v>10312</v>
      </c>
      <c r="B313" s="1" t="s">
        <v>179</v>
      </c>
      <c r="C313" t="s">
        <v>115</v>
      </c>
      <c r="D313" t="s">
        <v>52</v>
      </c>
      <c r="E313" t="s">
        <v>53</v>
      </c>
      <c r="F313" t="s">
        <v>31</v>
      </c>
      <c r="G313" t="s">
        <v>38</v>
      </c>
      <c r="H313" t="s">
        <v>39</v>
      </c>
      <c r="I313">
        <v>6</v>
      </c>
      <c r="J313">
        <v>28398</v>
      </c>
      <c r="K313">
        <v>7508.45</v>
      </c>
      <c r="L313">
        <v>0</v>
      </c>
      <c r="M313" t="s">
        <v>40</v>
      </c>
      <c r="N313" t="str">
        <f>TEXT(Table1[[#This Row],[Order Date]],"MMMM")</f>
        <v>November</v>
      </c>
      <c r="O313">
        <f>YEAR(Table1[[#This Row],[Order Date]])</f>
        <v>2025</v>
      </c>
      <c r="P313" t="str">
        <f>"Q"&amp;ROUNDUP(MONTH(Table1[[#This Row],[Order Date]])/3,0)</f>
        <v>Q4</v>
      </c>
      <c r="Q313" s="3">
        <f>Table1[[#This Row],[Profit]]/Table1[[#This Row],[Sales]]</f>
        <v>0.26440066201845197</v>
      </c>
      <c r="R313" t="str">
        <f>IF(Table1[[#This Row],[Sales]]&lt;1000,"LOW",IF(Table1[[#This Row],[Sales]]&lt;5000,"MEDIUM","HIGH"))</f>
        <v>HIGH</v>
      </c>
      <c r="S313" s="2">
        <f>Table1[[#This Row],[Discount]]/100</f>
        <v>0</v>
      </c>
    </row>
    <row r="314" spans="1:19" x14ac:dyDescent="0.3">
      <c r="A314">
        <v>10313</v>
      </c>
      <c r="B314" s="1" t="s">
        <v>334</v>
      </c>
      <c r="C314" t="s">
        <v>80</v>
      </c>
      <c r="D314" t="s">
        <v>52</v>
      </c>
      <c r="E314" t="s">
        <v>53</v>
      </c>
      <c r="F314" t="s">
        <v>31</v>
      </c>
      <c r="G314" t="s">
        <v>32</v>
      </c>
      <c r="H314" t="s">
        <v>33</v>
      </c>
      <c r="I314">
        <v>8</v>
      </c>
      <c r="J314">
        <v>14579.2</v>
      </c>
      <c r="K314">
        <v>3185.21</v>
      </c>
      <c r="L314">
        <v>20</v>
      </c>
      <c r="M314" t="s">
        <v>45</v>
      </c>
      <c r="N314" t="str">
        <f>TEXT(Table1[[#This Row],[Order Date]],"MMMM")</f>
        <v>April</v>
      </c>
      <c r="O314">
        <f>YEAR(Table1[[#This Row],[Order Date]])</f>
        <v>2025</v>
      </c>
      <c r="P314" t="str">
        <f>"Q"&amp;ROUNDUP(MONTH(Table1[[#This Row],[Order Date]])/3,0)</f>
        <v>Q2</v>
      </c>
      <c r="Q314" s="3">
        <f>Table1[[#This Row],[Profit]]/Table1[[#This Row],[Sales]]</f>
        <v>0.21847632243195786</v>
      </c>
      <c r="R314" t="str">
        <f>IF(Table1[[#This Row],[Sales]]&lt;1000,"LOW",IF(Table1[[#This Row],[Sales]]&lt;5000,"MEDIUM","HIGH"))</f>
        <v>HIGH</v>
      </c>
      <c r="S314" s="2">
        <f>Table1[[#This Row],[Discount]]/100</f>
        <v>0.2</v>
      </c>
    </row>
    <row r="315" spans="1:19" x14ac:dyDescent="0.3">
      <c r="A315">
        <v>10314</v>
      </c>
      <c r="B315" s="1" t="s">
        <v>147</v>
      </c>
      <c r="C315" t="s">
        <v>288</v>
      </c>
      <c r="D315" t="s">
        <v>23</v>
      </c>
      <c r="E315" t="s">
        <v>24</v>
      </c>
      <c r="F315" t="s">
        <v>17</v>
      </c>
      <c r="G315" t="s">
        <v>18</v>
      </c>
      <c r="H315" t="s">
        <v>19</v>
      </c>
      <c r="I315">
        <v>7</v>
      </c>
      <c r="J315">
        <v>30476.95</v>
      </c>
      <c r="K315">
        <v>9039.44</v>
      </c>
      <c r="L315">
        <v>5</v>
      </c>
      <c r="M315" t="s">
        <v>40</v>
      </c>
      <c r="N315" t="str">
        <f>TEXT(Table1[[#This Row],[Order Date]],"MMMM")</f>
        <v>March</v>
      </c>
      <c r="O315">
        <f>YEAR(Table1[[#This Row],[Order Date]])</f>
        <v>2025</v>
      </c>
      <c r="P315" t="str">
        <f>"Q"&amp;ROUNDUP(MONTH(Table1[[#This Row],[Order Date]])/3,0)</f>
        <v>Q1</v>
      </c>
      <c r="Q315" s="3">
        <f>Table1[[#This Row],[Profit]]/Table1[[#This Row],[Sales]]</f>
        <v>0.2965992331909853</v>
      </c>
      <c r="R315" t="str">
        <f>IF(Table1[[#This Row],[Sales]]&lt;1000,"LOW",IF(Table1[[#This Row],[Sales]]&lt;5000,"MEDIUM","HIGH"))</f>
        <v>HIGH</v>
      </c>
      <c r="S315" s="2">
        <f>Table1[[#This Row],[Discount]]/100</f>
        <v>0.05</v>
      </c>
    </row>
    <row r="316" spans="1:19" x14ac:dyDescent="0.3">
      <c r="A316">
        <v>10315</v>
      </c>
      <c r="B316" s="1" t="s">
        <v>307</v>
      </c>
      <c r="C316" t="s">
        <v>297</v>
      </c>
      <c r="D316" t="s">
        <v>36</v>
      </c>
      <c r="E316" t="s">
        <v>37</v>
      </c>
      <c r="F316" t="s">
        <v>31</v>
      </c>
      <c r="G316" t="s">
        <v>32</v>
      </c>
      <c r="H316" t="s">
        <v>33</v>
      </c>
      <c r="I316">
        <v>6</v>
      </c>
      <c r="J316">
        <v>28854</v>
      </c>
      <c r="K316">
        <v>2441.16</v>
      </c>
      <c r="L316">
        <v>0</v>
      </c>
      <c r="M316" t="s">
        <v>40</v>
      </c>
      <c r="N316" t="str">
        <f>TEXT(Table1[[#This Row],[Order Date]],"MMMM")</f>
        <v>June</v>
      </c>
      <c r="O316">
        <f>YEAR(Table1[[#This Row],[Order Date]])</f>
        <v>2025</v>
      </c>
      <c r="P316" t="str">
        <f>"Q"&amp;ROUNDUP(MONTH(Table1[[#This Row],[Order Date]])/3,0)</f>
        <v>Q2</v>
      </c>
      <c r="Q316" s="3">
        <f>Table1[[#This Row],[Profit]]/Table1[[#This Row],[Sales]]</f>
        <v>8.4603867747972544E-2</v>
      </c>
      <c r="R316" t="str">
        <f>IF(Table1[[#This Row],[Sales]]&lt;1000,"LOW",IF(Table1[[#This Row],[Sales]]&lt;5000,"MEDIUM","HIGH"))</f>
        <v>HIGH</v>
      </c>
      <c r="S316" s="2">
        <f>Table1[[#This Row],[Discount]]/100</f>
        <v>0</v>
      </c>
    </row>
    <row r="317" spans="1:19" x14ac:dyDescent="0.3">
      <c r="A317">
        <v>10316</v>
      </c>
      <c r="B317" s="1" t="s">
        <v>430</v>
      </c>
      <c r="C317" t="s">
        <v>144</v>
      </c>
      <c r="D317" t="s">
        <v>23</v>
      </c>
      <c r="E317" t="s">
        <v>24</v>
      </c>
      <c r="F317" t="s">
        <v>17</v>
      </c>
      <c r="G317" t="s">
        <v>43</v>
      </c>
      <c r="H317" t="s">
        <v>44</v>
      </c>
      <c r="I317">
        <v>8</v>
      </c>
      <c r="J317">
        <v>28121.599999999999</v>
      </c>
      <c r="K317">
        <v>4665.6400000000003</v>
      </c>
      <c r="L317">
        <v>20</v>
      </c>
      <c r="M317" t="s">
        <v>28</v>
      </c>
      <c r="N317" t="str">
        <f>TEXT(Table1[[#This Row],[Order Date]],"MMMM")</f>
        <v>May</v>
      </c>
      <c r="O317">
        <f>YEAR(Table1[[#This Row],[Order Date]])</f>
        <v>2025</v>
      </c>
      <c r="P317" t="str">
        <f>"Q"&amp;ROUNDUP(MONTH(Table1[[#This Row],[Order Date]])/3,0)</f>
        <v>Q2</v>
      </c>
      <c r="Q317" s="3">
        <f>Table1[[#This Row],[Profit]]/Table1[[#This Row],[Sales]]</f>
        <v>0.16590947883477472</v>
      </c>
      <c r="R317" t="str">
        <f>IF(Table1[[#This Row],[Sales]]&lt;1000,"LOW",IF(Table1[[#This Row],[Sales]]&lt;5000,"MEDIUM","HIGH"))</f>
        <v>HIGH</v>
      </c>
      <c r="S317" s="2">
        <f>Table1[[#This Row],[Discount]]/100</f>
        <v>0.2</v>
      </c>
    </row>
    <row r="318" spans="1:19" x14ac:dyDescent="0.3">
      <c r="A318">
        <v>10317</v>
      </c>
      <c r="B318" s="1" t="s">
        <v>122</v>
      </c>
      <c r="C318" t="s">
        <v>330</v>
      </c>
      <c r="D318" t="s">
        <v>66</v>
      </c>
      <c r="E318" t="s">
        <v>16</v>
      </c>
      <c r="F318" t="s">
        <v>17</v>
      </c>
      <c r="G318" t="s">
        <v>43</v>
      </c>
      <c r="H318" t="s">
        <v>44</v>
      </c>
      <c r="I318">
        <v>4</v>
      </c>
      <c r="J318">
        <v>13892.4</v>
      </c>
      <c r="K318">
        <v>1623.49</v>
      </c>
      <c r="L318">
        <v>10</v>
      </c>
      <c r="M318" t="s">
        <v>49</v>
      </c>
      <c r="N318" t="str">
        <f>TEXT(Table1[[#This Row],[Order Date]],"MMMM")</f>
        <v>September</v>
      </c>
      <c r="O318">
        <f>YEAR(Table1[[#This Row],[Order Date]])</f>
        <v>2025</v>
      </c>
      <c r="P318" t="str">
        <f>"Q"&amp;ROUNDUP(MONTH(Table1[[#This Row],[Order Date]])/3,0)</f>
        <v>Q3</v>
      </c>
      <c r="Q318" s="3">
        <f>Table1[[#This Row],[Profit]]/Table1[[#This Row],[Sales]]</f>
        <v>0.11686173735279722</v>
      </c>
      <c r="R318" t="str">
        <f>IF(Table1[[#This Row],[Sales]]&lt;1000,"LOW",IF(Table1[[#This Row],[Sales]]&lt;5000,"MEDIUM","HIGH"))</f>
        <v>HIGH</v>
      </c>
      <c r="S318" s="2">
        <f>Table1[[#This Row],[Discount]]/100</f>
        <v>0.1</v>
      </c>
    </row>
    <row r="319" spans="1:19" x14ac:dyDescent="0.3">
      <c r="A319">
        <v>10318</v>
      </c>
      <c r="B319" s="1" t="s">
        <v>175</v>
      </c>
      <c r="C319" t="s">
        <v>364</v>
      </c>
      <c r="D319" t="s">
        <v>15</v>
      </c>
      <c r="E319" t="s">
        <v>16</v>
      </c>
      <c r="F319" t="s">
        <v>25</v>
      </c>
      <c r="G319" t="s">
        <v>26</v>
      </c>
      <c r="H319" t="s">
        <v>71</v>
      </c>
      <c r="I319">
        <v>8</v>
      </c>
      <c r="J319">
        <v>22860</v>
      </c>
      <c r="K319">
        <v>4396.84</v>
      </c>
      <c r="L319">
        <v>10</v>
      </c>
      <c r="M319" t="s">
        <v>49</v>
      </c>
      <c r="N319" t="str">
        <f>TEXT(Table1[[#This Row],[Order Date]],"MMMM")</f>
        <v>January</v>
      </c>
      <c r="O319">
        <f>YEAR(Table1[[#This Row],[Order Date]])</f>
        <v>2025</v>
      </c>
      <c r="P319" t="str">
        <f>"Q"&amp;ROUNDUP(MONTH(Table1[[#This Row],[Order Date]])/3,0)</f>
        <v>Q1</v>
      </c>
      <c r="Q319" s="3">
        <f>Table1[[#This Row],[Profit]]/Table1[[#This Row],[Sales]]</f>
        <v>0.1923377077865267</v>
      </c>
      <c r="R319" t="str">
        <f>IF(Table1[[#This Row],[Sales]]&lt;1000,"LOW",IF(Table1[[#This Row],[Sales]]&lt;5000,"MEDIUM","HIGH"))</f>
        <v>HIGH</v>
      </c>
      <c r="S319" s="2">
        <f>Table1[[#This Row],[Discount]]/100</f>
        <v>0.1</v>
      </c>
    </row>
    <row r="320" spans="1:19" x14ac:dyDescent="0.3">
      <c r="A320">
        <v>10319</v>
      </c>
      <c r="B320" s="1" t="s">
        <v>431</v>
      </c>
      <c r="C320" t="s">
        <v>356</v>
      </c>
      <c r="D320" t="s">
        <v>36</v>
      </c>
      <c r="E320" t="s">
        <v>37</v>
      </c>
      <c r="F320" t="s">
        <v>31</v>
      </c>
      <c r="G320" t="s">
        <v>32</v>
      </c>
      <c r="H320" t="s">
        <v>33</v>
      </c>
      <c r="I320">
        <v>3</v>
      </c>
      <c r="J320">
        <v>11987.1</v>
      </c>
      <c r="K320">
        <v>2452.36</v>
      </c>
      <c r="L320">
        <v>5</v>
      </c>
      <c r="M320" t="s">
        <v>20</v>
      </c>
      <c r="N320" t="str">
        <f>TEXT(Table1[[#This Row],[Order Date]],"MMMM")</f>
        <v>November</v>
      </c>
      <c r="O320">
        <f>YEAR(Table1[[#This Row],[Order Date]])</f>
        <v>2025</v>
      </c>
      <c r="P320" t="str">
        <f>"Q"&amp;ROUNDUP(MONTH(Table1[[#This Row],[Order Date]])/3,0)</f>
        <v>Q4</v>
      </c>
      <c r="Q320" s="3">
        <f>Table1[[#This Row],[Profit]]/Table1[[#This Row],[Sales]]</f>
        <v>0.2045832603381969</v>
      </c>
      <c r="R320" t="str">
        <f>IF(Table1[[#This Row],[Sales]]&lt;1000,"LOW",IF(Table1[[#This Row],[Sales]]&lt;5000,"MEDIUM","HIGH"))</f>
        <v>HIGH</v>
      </c>
      <c r="S320" s="2">
        <f>Table1[[#This Row],[Discount]]/100</f>
        <v>0.05</v>
      </c>
    </row>
    <row r="321" spans="1:19" x14ac:dyDescent="0.3">
      <c r="A321">
        <v>10320</v>
      </c>
      <c r="B321" s="1" t="s">
        <v>369</v>
      </c>
      <c r="C321" t="s">
        <v>219</v>
      </c>
      <c r="D321" t="s">
        <v>74</v>
      </c>
      <c r="E321" t="s">
        <v>74</v>
      </c>
      <c r="F321" t="s">
        <v>25</v>
      </c>
      <c r="G321" t="s">
        <v>26</v>
      </c>
      <c r="H321" t="s">
        <v>71</v>
      </c>
      <c r="I321">
        <v>7</v>
      </c>
      <c r="J321">
        <v>17255</v>
      </c>
      <c r="K321">
        <v>3350.97</v>
      </c>
      <c r="L321">
        <v>0</v>
      </c>
      <c r="M321" t="s">
        <v>40</v>
      </c>
      <c r="N321" t="str">
        <f>TEXT(Table1[[#This Row],[Order Date]],"MMMM")</f>
        <v>October</v>
      </c>
      <c r="O321">
        <f>YEAR(Table1[[#This Row],[Order Date]])</f>
        <v>2025</v>
      </c>
      <c r="P321" t="str">
        <f>"Q"&amp;ROUNDUP(MONTH(Table1[[#This Row],[Order Date]])/3,0)</f>
        <v>Q4</v>
      </c>
      <c r="Q321" s="3">
        <f>Table1[[#This Row],[Profit]]/Table1[[#This Row],[Sales]]</f>
        <v>0.19420283975659228</v>
      </c>
      <c r="R321" t="str">
        <f>IF(Table1[[#This Row],[Sales]]&lt;1000,"LOW",IF(Table1[[#This Row],[Sales]]&lt;5000,"MEDIUM","HIGH"))</f>
        <v>HIGH</v>
      </c>
      <c r="S321" s="2">
        <f>Table1[[#This Row],[Discount]]/100</f>
        <v>0</v>
      </c>
    </row>
    <row r="322" spans="1:19" x14ac:dyDescent="0.3">
      <c r="A322">
        <v>10321</v>
      </c>
      <c r="B322" s="1" t="s">
        <v>432</v>
      </c>
      <c r="C322" t="s">
        <v>433</v>
      </c>
      <c r="D322" t="s">
        <v>52</v>
      </c>
      <c r="E322" t="s">
        <v>53</v>
      </c>
      <c r="F322" t="s">
        <v>31</v>
      </c>
      <c r="G322" t="s">
        <v>89</v>
      </c>
      <c r="H322" t="s">
        <v>90</v>
      </c>
      <c r="I322">
        <v>1</v>
      </c>
      <c r="J322">
        <v>1323.2</v>
      </c>
      <c r="K322">
        <v>392.95</v>
      </c>
      <c r="L322">
        <v>20</v>
      </c>
      <c r="M322" t="s">
        <v>45</v>
      </c>
      <c r="N322" t="str">
        <f>TEXT(Table1[[#This Row],[Order Date]],"MMMM")</f>
        <v>May</v>
      </c>
      <c r="O322">
        <f>YEAR(Table1[[#This Row],[Order Date]])</f>
        <v>2025</v>
      </c>
      <c r="P322" t="str">
        <f>"Q"&amp;ROUNDUP(MONTH(Table1[[#This Row],[Order Date]])/3,0)</f>
        <v>Q2</v>
      </c>
      <c r="Q322" s="3">
        <f>Table1[[#This Row],[Profit]]/Table1[[#This Row],[Sales]]</f>
        <v>0.29696946795646917</v>
      </c>
      <c r="R322" t="str">
        <f>IF(Table1[[#This Row],[Sales]]&lt;1000,"LOW",IF(Table1[[#This Row],[Sales]]&lt;5000,"MEDIUM","HIGH"))</f>
        <v>MEDIUM</v>
      </c>
      <c r="S322" s="2">
        <f>Table1[[#This Row],[Discount]]/100</f>
        <v>0.2</v>
      </c>
    </row>
    <row r="323" spans="1:19" x14ac:dyDescent="0.3">
      <c r="A323">
        <v>10322</v>
      </c>
      <c r="B323" s="1" t="s">
        <v>334</v>
      </c>
      <c r="C323" t="s">
        <v>146</v>
      </c>
      <c r="D323" t="s">
        <v>23</v>
      </c>
      <c r="E323" t="s">
        <v>24</v>
      </c>
      <c r="F323" t="s">
        <v>31</v>
      </c>
      <c r="G323" t="s">
        <v>32</v>
      </c>
      <c r="H323" t="s">
        <v>33</v>
      </c>
      <c r="I323">
        <v>7</v>
      </c>
      <c r="J323">
        <v>20475</v>
      </c>
      <c r="K323">
        <v>4658.3599999999997</v>
      </c>
      <c r="L323">
        <v>0</v>
      </c>
      <c r="M323" t="s">
        <v>40</v>
      </c>
      <c r="N323" t="str">
        <f>TEXT(Table1[[#This Row],[Order Date]],"MMMM")</f>
        <v>April</v>
      </c>
      <c r="O323">
        <f>YEAR(Table1[[#This Row],[Order Date]])</f>
        <v>2025</v>
      </c>
      <c r="P323" t="str">
        <f>"Q"&amp;ROUNDUP(MONTH(Table1[[#This Row],[Order Date]])/3,0)</f>
        <v>Q2</v>
      </c>
      <c r="Q323" s="3">
        <f>Table1[[#This Row],[Profit]]/Table1[[#This Row],[Sales]]</f>
        <v>0.22751452991452989</v>
      </c>
      <c r="R323" t="str">
        <f>IF(Table1[[#This Row],[Sales]]&lt;1000,"LOW",IF(Table1[[#This Row],[Sales]]&lt;5000,"MEDIUM","HIGH"))</f>
        <v>HIGH</v>
      </c>
      <c r="S323" s="2">
        <f>Table1[[#This Row],[Discount]]/100</f>
        <v>0</v>
      </c>
    </row>
    <row r="324" spans="1:19" x14ac:dyDescent="0.3">
      <c r="A324">
        <v>10323</v>
      </c>
      <c r="B324" s="1" t="s">
        <v>122</v>
      </c>
      <c r="C324" t="s">
        <v>349</v>
      </c>
      <c r="D324" t="s">
        <v>66</v>
      </c>
      <c r="E324" t="s">
        <v>16</v>
      </c>
      <c r="F324" t="s">
        <v>17</v>
      </c>
      <c r="G324" t="s">
        <v>18</v>
      </c>
      <c r="H324" t="s">
        <v>19</v>
      </c>
      <c r="I324">
        <v>4</v>
      </c>
      <c r="J324">
        <v>11540.6</v>
      </c>
      <c r="K324">
        <v>2044.46</v>
      </c>
      <c r="L324">
        <v>5</v>
      </c>
      <c r="M324" t="s">
        <v>20</v>
      </c>
      <c r="N324" t="str">
        <f>TEXT(Table1[[#This Row],[Order Date]],"MMMM")</f>
        <v>September</v>
      </c>
      <c r="O324">
        <f>YEAR(Table1[[#This Row],[Order Date]])</f>
        <v>2025</v>
      </c>
      <c r="P324" t="str">
        <f>"Q"&amp;ROUNDUP(MONTH(Table1[[#This Row],[Order Date]])/3,0)</f>
        <v>Q3</v>
      </c>
      <c r="Q324" s="3">
        <f>Table1[[#This Row],[Profit]]/Table1[[#This Row],[Sales]]</f>
        <v>0.17715370084744295</v>
      </c>
      <c r="R324" t="str">
        <f>IF(Table1[[#This Row],[Sales]]&lt;1000,"LOW",IF(Table1[[#This Row],[Sales]]&lt;5000,"MEDIUM","HIGH"))</f>
        <v>HIGH</v>
      </c>
      <c r="S324" s="2">
        <f>Table1[[#This Row],[Discount]]/100</f>
        <v>0.05</v>
      </c>
    </row>
    <row r="325" spans="1:19" x14ac:dyDescent="0.3">
      <c r="A325">
        <v>10324</v>
      </c>
      <c r="B325" s="1" t="s">
        <v>205</v>
      </c>
      <c r="C325" t="s">
        <v>276</v>
      </c>
      <c r="D325" t="s">
        <v>60</v>
      </c>
      <c r="E325" t="s">
        <v>61</v>
      </c>
      <c r="F325" t="s">
        <v>17</v>
      </c>
      <c r="G325" t="s">
        <v>75</v>
      </c>
      <c r="H325" t="s">
        <v>76</v>
      </c>
      <c r="I325">
        <v>8</v>
      </c>
      <c r="J325">
        <v>36120</v>
      </c>
      <c r="K325">
        <v>7060.57</v>
      </c>
      <c r="L325">
        <v>0</v>
      </c>
      <c r="M325" t="s">
        <v>49</v>
      </c>
      <c r="N325" t="str">
        <f>TEXT(Table1[[#This Row],[Order Date]],"MMMM")</f>
        <v>March</v>
      </c>
      <c r="O325">
        <f>YEAR(Table1[[#This Row],[Order Date]])</f>
        <v>2025</v>
      </c>
      <c r="P325" t="str">
        <f>"Q"&amp;ROUNDUP(MONTH(Table1[[#This Row],[Order Date]])/3,0)</f>
        <v>Q1</v>
      </c>
      <c r="Q325" s="3">
        <f>Table1[[#This Row],[Profit]]/Table1[[#This Row],[Sales]]</f>
        <v>0.19547535991140641</v>
      </c>
      <c r="R325" t="str">
        <f>IF(Table1[[#This Row],[Sales]]&lt;1000,"LOW",IF(Table1[[#This Row],[Sales]]&lt;5000,"MEDIUM","HIGH"))</f>
        <v>HIGH</v>
      </c>
      <c r="S325" s="2">
        <f>Table1[[#This Row],[Discount]]/100</f>
        <v>0</v>
      </c>
    </row>
    <row r="326" spans="1:19" x14ac:dyDescent="0.3">
      <c r="A326">
        <v>10325</v>
      </c>
      <c r="B326" s="1" t="s">
        <v>314</v>
      </c>
      <c r="C326" t="s">
        <v>413</v>
      </c>
      <c r="D326" t="s">
        <v>60</v>
      </c>
      <c r="E326" t="s">
        <v>61</v>
      </c>
      <c r="F326" t="s">
        <v>31</v>
      </c>
      <c r="G326" t="s">
        <v>32</v>
      </c>
      <c r="H326" t="s">
        <v>33</v>
      </c>
      <c r="I326">
        <v>5</v>
      </c>
      <c r="J326">
        <v>24040</v>
      </c>
      <c r="K326">
        <v>4753.8</v>
      </c>
      <c r="L326">
        <v>0</v>
      </c>
      <c r="M326" t="s">
        <v>40</v>
      </c>
      <c r="N326" t="str">
        <f>TEXT(Table1[[#This Row],[Order Date]],"MMMM")</f>
        <v>June</v>
      </c>
      <c r="O326">
        <f>YEAR(Table1[[#This Row],[Order Date]])</f>
        <v>2025</v>
      </c>
      <c r="P326" t="str">
        <f>"Q"&amp;ROUNDUP(MONTH(Table1[[#This Row],[Order Date]])/3,0)</f>
        <v>Q2</v>
      </c>
      <c r="Q326" s="3">
        <f>Table1[[#This Row],[Profit]]/Table1[[#This Row],[Sales]]</f>
        <v>0.19774542429284528</v>
      </c>
      <c r="R326" t="str">
        <f>IF(Table1[[#This Row],[Sales]]&lt;1000,"LOW",IF(Table1[[#This Row],[Sales]]&lt;5000,"MEDIUM","HIGH"))</f>
        <v>HIGH</v>
      </c>
      <c r="S326" s="2">
        <f>Table1[[#This Row],[Discount]]/100</f>
        <v>0</v>
      </c>
    </row>
    <row r="327" spans="1:19" x14ac:dyDescent="0.3">
      <c r="A327">
        <v>10326</v>
      </c>
      <c r="B327" s="1" t="s">
        <v>434</v>
      </c>
      <c r="C327" t="s">
        <v>435</v>
      </c>
      <c r="D327" t="s">
        <v>23</v>
      </c>
      <c r="E327" t="s">
        <v>24</v>
      </c>
      <c r="F327" t="s">
        <v>31</v>
      </c>
      <c r="G327" t="s">
        <v>124</v>
      </c>
      <c r="H327" t="s">
        <v>125</v>
      </c>
      <c r="I327">
        <v>2</v>
      </c>
      <c r="J327">
        <v>2964.8</v>
      </c>
      <c r="K327">
        <v>505.77</v>
      </c>
      <c r="L327">
        <v>15</v>
      </c>
      <c r="M327" t="s">
        <v>45</v>
      </c>
      <c r="N327" t="str">
        <f>TEXT(Table1[[#This Row],[Order Date]],"MMMM")</f>
        <v>June</v>
      </c>
      <c r="O327">
        <f>YEAR(Table1[[#This Row],[Order Date]])</f>
        <v>2025</v>
      </c>
      <c r="P327" t="str">
        <f>"Q"&amp;ROUNDUP(MONTH(Table1[[#This Row],[Order Date]])/3,0)</f>
        <v>Q2</v>
      </c>
      <c r="Q327" s="3">
        <f>Table1[[#This Row],[Profit]]/Table1[[#This Row],[Sales]]</f>
        <v>0.17059160820291416</v>
      </c>
      <c r="R327" t="str">
        <f>IF(Table1[[#This Row],[Sales]]&lt;1000,"LOW",IF(Table1[[#This Row],[Sales]]&lt;5000,"MEDIUM","HIGH"))</f>
        <v>MEDIUM</v>
      </c>
      <c r="S327" s="2">
        <f>Table1[[#This Row],[Discount]]/100</f>
        <v>0.15</v>
      </c>
    </row>
    <row r="328" spans="1:19" x14ac:dyDescent="0.3">
      <c r="A328">
        <v>10327</v>
      </c>
      <c r="B328" s="1" t="s">
        <v>62</v>
      </c>
      <c r="C328" t="s">
        <v>139</v>
      </c>
      <c r="D328" t="s">
        <v>36</v>
      </c>
      <c r="E328" t="s">
        <v>37</v>
      </c>
      <c r="F328" t="s">
        <v>17</v>
      </c>
      <c r="G328" t="s">
        <v>43</v>
      </c>
      <c r="H328" t="s">
        <v>44</v>
      </c>
      <c r="I328">
        <v>5</v>
      </c>
      <c r="J328">
        <v>520</v>
      </c>
      <c r="K328">
        <v>79.650000000000006</v>
      </c>
      <c r="L328">
        <v>0</v>
      </c>
      <c r="M328" t="s">
        <v>45</v>
      </c>
      <c r="N328" t="str">
        <f>TEXT(Table1[[#This Row],[Order Date]],"MMMM")</f>
        <v>May</v>
      </c>
      <c r="O328">
        <f>YEAR(Table1[[#This Row],[Order Date]])</f>
        <v>2025</v>
      </c>
      <c r="P328" t="str">
        <f>"Q"&amp;ROUNDUP(MONTH(Table1[[#This Row],[Order Date]])/3,0)</f>
        <v>Q2</v>
      </c>
      <c r="Q328" s="3">
        <f>Table1[[#This Row],[Profit]]/Table1[[#This Row],[Sales]]</f>
        <v>0.15317307692307694</v>
      </c>
      <c r="R328" t="str">
        <f>IF(Table1[[#This Row],[Sales]]&lt;1000,"LOW",IF(Table1[[#This Row],[Sales]]&lt;5000,"MEDIUM","HIGH"))</f>
        <v>LOW</v>
      </c>
      <c r="S328" s="2">
        <f>Table1[[#This Row],[Discount]]/100</f>
        <v>0</v>
      </c>
    </row>
    <row r="329" spans="1:19" x14ac:dyDescent="0.3">
      <c r="A329">
        <v>10328</v>
      </c>
      <c r="B329" s="1" t="s">
        <v>436</v>
      </c>
      <c r="C329" t="s">
        <v>437</v>
      </c>
      <c r="D329" t="s">
        <v>15</v>
      </c>
      <c r="E329" t="s">
        <v>16</v>
      </c>
      <c r="F329" t="s">
        <v>25</v>
      </c>
      <c r="G329" t="s">
        <v>26</v>
      </c>
      <c r="H329" t="s">
        <v>71</v>
      </c>
      <c r="I329">
        <v>1</v>
      </c>
      <c r="J329">
        <v>1329.4</v>
      </c>
      <c r="K329">
        <v>186.57</v>
      </c>
      <c r="L329">
        <v>15</v>
      </c>
      <c r="M329" t="s">
        <v>49</v>
      </c>
      <c r="N329" t="str">
        <f>TEXT(Table1[[#This Row],[Order Date]],"MMMM")</f>
        <v>October</v>
      </c>
      <c r="O329">
        <f>YEAR(Table1[[#This Row],[Order Date]])</f>
        <v>2025</v>
      </c>
      <c r="P329" t="str">
        <f>"Q"&amp;ROUNDUP(MONTH(Table1[[#This Row],[Order Date]])/3,0)</f>
        <v>Q4</v>
      </c>
      <c r="Q329" s="3">
        <f>Table1[[#This Row],[Profit]]/Table1[[#This Row],[Sales]]</f>
        <v>0.14034150744696855</v>
      </c>
      <c r="R329" t="str">
        <f>IF(Table1[[#This Row],[Sales]]&lt;1000,"LOW",IF(Table1[[#This Row],[Sales]]&lt;5000,"MEDIUM","HIGH"))</f>
        <v>MEDIUM</v>
      </c>
      <c r="S329" s="2">
        <f>Table1[[#This Row],[Discount]]/100</f>
        <v>0.15</v>
      </c>
    </row>
    <row r="330" spans="1:19" x14ac:dyDescent="0.3">
      <c r="A330">
        <v>10329</v>
      </c>
      <c r="B330" s="1" t="s">
        <v>438</v>
      </c>
      <c r="C330" t="s">
        <v>82</v>
      </c>
      <c r="D330" t="s">
        <v>36</v>
      </c>
      <c r="E330" t="s">
        <v>37</v>
      </c>
      <c r="F330" t="s">
        <v>31</v>
      </c>
      <c r="G330" t="s">
        <v>32</v>
      </c>
      <c r="H330" t="s">
        <v>33</v>
      </c>
      <c r="I330">
        <v>5</v>
      </c>
      <c r="J330">
        <v>11490</v>
      </c>
      <c r="K330">
        <v>2876.71</v>
      </c>
      <c r="L330">
        <v>0</v>
      </c>
      <c r="M330" t="s">
        <v>20</v>
      </c>
      <c r="N330" t="str">
        <f>TEXT(Table1[[#This Row],[Order Date]],"MMMM")</f>
        <v>September</v>
      </c>
      <c r="O330">
        <f>YEAR(Table1[[#This Row],[Order Date]])</f>
        <v>2025</v>
      </c>
      <c r="P330" t="str">
        <f>"Q"&amp;ROUNDUP(MONTH(Table1[[#This Row],[Order Date]])/3,0)</f>
        <v>Q3</v>
      </c>
      <c r="Q330" s="3">
        <f>Table1[[#This Row],[Profit]]/Table1[[#This Row],[Sales]]</f>
        <v>0.2503664055700609</v>
      </c>
      <c r="R330" t="str">
        <f>IF(Table1[[#This Row],[Sales]]&lt;1000,"LOW",IF(Table1[[#This Row],[Sales]]&lt;5000,"MEDIUM","HIGH"))</f>
        <v>HIGH</v>
      </c>
      <c r="S330" s="2">
        <f>Table1[[#This Row],[Discount]]/100</f>
        <v>0</v>
      </c>
    </row>
    <row r="331" spans="1:19" x14ac:dyDescent="0.3">
      <c r="A331">
        <v>10330</v>
      </c>
      <c r="B331" s="1" t="s">
        <v>439</v>
      </c>
      <c r="C331" t="s">
        <v>422</v>
      </c>
      <c r="D331" t="s">
        <v>52</v>
      </c>
      <c r="E331" t="s">
        <v>53</v>
      </c>
      <c r="F331" t="s">
        <v>25</v>
      </c>
      <c r="G331" t="s">
        <v>26</v>
      </c>
      <c r="H331" t="s">
        <v>48</v>
      </c>
      <c r="I331">
        <v>8</v>
      </c>
      <c r="J331">
        <v>10670.4</v>
      </c>
      <c r="K331">
        <v>2522.98</v>
      </c>
      <c r="L331">
        <v>5</v>
      </c>
      <c r="M331" t="s">
        <v>45</v>
      </c>
      <c r="N331" t="str">
        <f>TEXT(Table1[[#This Row],[Order Date]],"MMMM")</f>
        <v>January</v>
      </c>
      <c r="O331">
        <f>YEAR(Table1[[#This Row],[Order Date]])</f>
        <v>2025</v>
      </c>
      <c r="P331" t="str">
        <f>"Q"&amp;ROUNDUP(MONTH(Table1[[#This Row],[Order Date]])/3,0)</f>
        <v>Q1</v>
      </c>
      <c r="Q331" s="3">
        <f>Table1[[#This Row],[Profit]]/Table1[[#This Row],[Sales]]</f>
        <v>0.23644661868346079</v>
      </c>
      <c r="R331" t="str">
        <f>IF(Table1[[#This Row],[Sales]]&lt;1000,"LOW",IF(Table1[[#This Row],[Sales]]&lt;5000,"MEDIUM","HIGH"))</f>
        <v>HIGH</v>
      </c>
      <c r="S331" s="2">
        <f>Table1[[#This Row],[Discount]]/100</f>
        <v>0.05</v>
      </c>
    </row>
    <row r="332" spans="1:19" x14ac:dyDescent="0.3">
      <c r="A332">
        <v>10331</v>
      </c>
      <c r="B332" s="1" t="s">
        <v>325</v>
      </c>
      <c r="C332" t="s">
        <v>118</v>
      </c>
      <c r="D332" t="s">
        <v>60</v>
      </c>
      <c r="E332" t="s">
        <v>61</v>
      </c>
      <c r="F332" t="s">
        <v>25</v>
      </c>
      <c r="G332" t="s">
        <v>26</v>
      </c>
      <c r="H332" t="s">
        <v>48</v>
      </c>
      <c r="I332">
        <v>5</v>
      </c>
      <c r="J332">
        <v>19403.75</v>
      </c>
      <c r="K332">
        <v>3401.8</v>
      </c>
      <c r="L332">
        <v>5</v>
      </c>
      <c r="M332" t="s">
        <v>20</v>
      </c>
      <c r="N332" t="str">
        <f>TEXT(Table1[[#This Row],[Order Date]],"MMMM")</f>
        <v>November</v>
      </c>
      <c r="O332">
        <f>YEAR(Table1[[#This Row],[Order Date]])</f>
        <v>2025</v>
      </c>
      <c r="P332" t="str">
        <f>"Q"&amp;ROUNDUP(MONTH(Table1[[#This Row],[Order Date]])/3,0)</f>
        <v>Q4</v>
      </c>
      <c r="Q332" s="3">
        <f>Table1[[#This Row],[Profit]]/Table1[[#This Row],[Sales]]</f>
        <v>0.17531662694066869</v>
      </c>
      <c r="R332" t="str">
        <f>IF(Table1[[#This Row],[Sales]]&lt;1000,"LOW",IF(Table1[[#This Row],[Sales]]&lt;5000,"MEDIUM","HIGH"))</f>
        <v>HIGH</v>
      </c>
      <c r="S332" s="2">
        <f>Table1[[#This Row],[Discount]]/100</f>
        <v>0.05</v>
      </c>
    </row>
    <row r="333" spans="1:19" x14ac:dyDescent="0.3">
      <c r="A333">
        <v>10332</v>
      </c>
      <c r="B333" s="1" t="s">
        <v>296</v>
      </c>
      <c r="C333" t="s">
        <v>73</v>
      </c>
      <c r="D333" t="s">
        <v>52</v>
      </c>
      <c r="E333" t="s">
        <v>53</v>
      </c>
      <c r="F333" t="s">
        <v>17</v>
      </c>
      <c r="G333" t="s">
        <v>18</v>
      </c>
      <c r="H333" t="s">
        <v>19</v>
      </c>
      <c r="I333">
        <v>8</v>
      </c>
      <c r="J333">
        <v>26574.400000000001</v>
      </c>
      <c r="K333">
        <v>2429.9299999999998</v>
      </c>
      <c r="L333">
        <v>15</v>
      </c>
      <c r="M333" t="s">
        <v>49</v>
      </c>
      <c r="N333" t="str">
        <f>TEXT(Table1[[#This Row],[Order Date]],"MMMM")</f>
        <v>February</v>
      </c>
      <c r="O333">
        <f>YEAR(Table1[[#This Row],[Order Date]])</f>
        <v>2025</v>
      </c>
      <c r="P333" t="str">
        <f>"Q"&amp;ROUNDUP(MONTH(Table1[[#This Row],[Order Date]])/3,0)</f>
        <v>Q1</v>
      </c>
      <c r="Q333" s="3">
        <f>Table1[[#This Row],[Profit]]/Table1[[#This Row],[Sales]]</f>
        <v>9.1438753085676436E-2</v>
      </c>
      <c r="R333" t="str">
        <f>IF(Table1[[#This Row],[Sales]]&lt;1000,"LOW",IF(Table1[[#This Row],[Sales]]&lt;5000,"MEDIUM","HIGH"))</f>
        <v>HIGH</v>
      </c>
      <c r="S333" s="2">
        <f>Table1[[#This Row],[Discount]]/100</f>
        <v>0.15</v>
      </c>
    </row>
    <row r="334" spans="1:19" x14ac:dyDescent="0.3">
      <c r="A334">
        <v>10333</v>
      </c>
      <c r="B334" s="1" t="s">
        <v>371</v>
      </c>
      <c r="C334" t="s">
        <v>223</v>
      </c>
      <c r="D334" t="s">
        <v>15</v>
      </c>
      <c r="E334" t="s">
        <v>16</v>
      </c>
      <c r="F334" t="s">
        <v>17</v>
      </c>
      <c r="G334" t="s">
        <v>75</v>
      </c>
      <c r="H334" t="s">
        <v>116</v>
      </c>
      <c r="I334">
        <v>2</v>
      </c>
      <c r="J334">
        <v>8236.5</v>
      </c>
      <c r="K334">
        <v>1441.97</v>
      </c>
      <c r="L334">
        <v>15</v>
      </c>
      <c r="M334" t="s">
        <v>49</v>
      </c>
      <c r="N334" t="str">
        <f>TEXT(Table1[[#This Row],[Order Date]],"MMMM")</f>
        <v>November</v>
      </c>
      <c r="O334">
        <f>YEAR(Table1[[#This Row],[Order Date]])</f>
        <v>2025</v>
      </c>
      <c r="P334" t="str">
        <f>"Q"&amp;ROUNDUP(MONTH(Table1[[#This Row],[Order Date]])/3,0)</f>
        <v>Q4</v>
      </c>
      <c r="Q334" s="3">
        <f>Table1[[#This Row],[Profit]]/Table1[[#This Row],[Sales]]</f>
        <v>0.17507072178716687</v>
      </c>
      <c r="R334" t="str">
        <f>IF(Table1[[#This Row],[Sales]]&lt;1000,"LOW",IF(Table1[[#This Row],[Sales]]&lt;5000,"MEDIUM","HIGH"))</f>
        <v>HIGH</v>
      </c>
      <c r="S334" s="2">
        <f>Table1[[#This Row],[Discount]]/100</f>
        <v>0.15</v>
      </c>
    </row>
    <row r="335" spans="1:19" x14ac:dyDescent="0.3">
      <c r="A335">
        <v>10334</v>
      </c>
      <c r="B335" s="1" t="s">
        <v>237</v>
      </c>
      <c r="C335" t="s">
        <v>440</v>
      </c>
      <c r="D335" t="s">
        <v>36</v>
      </c>
      <c r="E335" t="s">
        <v>37</v>
      </c>
      <c r="F335" t="s">
        <v>31</v>
      </c>
      <c r="G335" t="s">
        <v>89</v>
      </c>
      <c r="H335" t="s">
        <v>90</v>
      </c>
      <c r="I335">
        <v>2</v>
      </c>
      <c r="J335">
        <v>2308</v>
      </c>
      <c r="K335">
        <v>230.37</v>
      </c>
      <c r="L335">
        <v>0</v>
      </c>
      <c r="M335" t="s">
        <v>28</v>
      </c>
      <c r="N335" t="str">
        <f>TEXT(Table1[[#This Row],[Order Date]],"MMMM")</f>
        <v>November</v>
      </c>
      <c r="O335">
        <f>YEAR(Table1[[#This Row],[Order Date]])</f>
        <v>2025</v>
      </c>
      <c r="P335" t="str">
        <f>"Q"&amp;ROUNDUP(MONTH(Table1[[#This Row],[Order Date]])/3,0)</f>
        <v>Q4</v>
      </c>
      <c r="Q335" s="3">
        <f>Table1[[#This Row],[Profit]]/Table1[[#This Row],[Sales]]</f>
        <v>9.9813691507798966E-2</v>
      </c>
      <c r="R335" t="str">
        <f>IF(Table1[[#This Row],[Sales]]&lt;1000,"LOW",IF(Table1[[#This Row],[Sales]]&lt;5000,"MEDIUM","HIGH"))</f>
        <v>MEDIUM</v>
      </c>
      <c r="S335" s="2">
        <f>Table1[[#This Row],[Discount]]/100</f>
        <v>0</v>
      </c>
    </row>
    <row r="336" spans="1:19" x14ac:dyDescent="0.3">
      <c r="A336">
        <v>10335</v>
      </c>
      <c r="B336" s="1" t="s">
        <v>205</v>
      </c>
      <c r="C336" t="s">
        <v>22</v>
      </c>
      <c r="D336" t="s">
        <v>52</v>
      </c>
      <c r="E336" t="s">
        <v>53</v>
      </c>
      <c r="F336" t="s">
        <v>25</v>
      </c>
      <c r="G336" t="s">
        <v>26</v>
      </c>
      <c r="H336" t="s">
        <v>27</v>
      </c>
      <c r="I336">
        <v>8</v>
      </c>
      <c r="J336">
        <v>3225.6</v>
      </c>
      <c r="K336">
        <v>385.42</v>
      </c>
      <c r="L336">
        <v>10</v>
      </c>
      <c r="M336" t="s">
        <v>45</v>
      </c>
      <c r="N336" t="str">
        <f>TEXT(Table1[[#This Row],[Order Date]],"MMMM")</f>
        <v>March</v>
      </c>
      <c r="O336">
        <f>YEAR(Table1[[#This Row],[Order Date]])</f>
        <v>2025</v>
      </c>
      <c r="P336" t="str">
        <f>"Q"&amp;ROUNDUP(MONTH(Table1[[#This Row],[Order Date]])/3,0)</f>
        <v>Q1</v>
      </c>
      <c r="Q336" s="3">
        <f>Table1[[#This Row],[Profit]]/Table1[[#This Row],[Sales]]</f>
        <v>0.11948784722222223</v>
      </c>
      <c r="R336" t="str">
        <f>IF(Table1[[#This Row],[Sales]]&lt;1000,"LOW",IF(Table1[[#This Row],[Sales]]&lt;5000,"MEDIUM","HIGH"))</f>
        <v>MEDIUM</v>
      </c>
      <c r="S336" s="2">
        <f>Table1[[#This Row],[Discount]]/100</f>
        <v>0.1</v>
      </c>
    </row>
    <row r="337" spans="1:19" x14ac:dyDescent="0.3">
      <c r="A337">
        <v>10336</v>
      </c>
      <c r="B337" s="1" t="s">
        <v>321</v>
      </c>
      <c r="C337" t="s">
        <v>301</v>
      </c>
      <c r="D337" t="s">
        <v>60</v>
      </c>
      <c r="E337" t="s">
        <v>61</v>
      </c>
      <c r="F337" t="s">
        <v>31</v>
      </c>
      <c r="G337" t="s">
        <v>124</v>
      </c>
      <c r="H337" t="s">
        <v>125</v>
      </c>
      <c r="I337">
        <v>6</v>
      </c>
      <c r="J337">
        <v>5712</v>
      </c>
      <c r="K337">
        <v>1157.17</v>
      </c>
      <c r="L337">
        <v>20</v>
      </c>
      <c r="M337" t="s">
        <v>45</v>
      </c>
      <c r="N337" t="str">
        <f>TEXT(Table1[[#This Row],[Order Date]],"MMMM")</f>
        <v>March</v>
      </c>
      <c r="O337">
        <f>YEAR(Table1[[#This Row],[Order Date]])</f>
        <v>2025</v>
      </c>
      <c r="P337" t="str">
        <f>"Q"&amp;ROUNDUP(MONTH(Table1[[#This Row],[Order Date]])/3,0)</f>
        <v>Q1</v>
      </c>
      <c r="Q337" s="3">
        <f>Table1[[#This Row],[Profit]]/Table1[[#This Row],[Sales]]</f>
        <v>0.20258578431372551</v>
      </c>
      <c r="R337" t="str">
        <f>IF(Table1[[#This Row],[Sales]]&lt;1000,"LOW",IF(Table1[[#This Row],[Sales]]&lt;5000,"MEDIUM","HIGH"))</f>
        <v>HIGH</v>
      </c>
      <c r="S337" s="2">
        <f>Table1[[#This Row],[Discount]]/100</f>
        <v>0.2</v>
      </c>
    </row>
    <row r="338" spans="1:19" x14ac:dyDescent="0.3">
      <c r="A338">
        <v>10337</v>
      </c>
      <c r="B338" s="1" t="s">
        <v>441</v>
      </c>
      <c r="C338" t="s">
        <v>407</v>
      </c>
      <c r="D338" t="s">
        <v>60</v>
      </c>
      <c r="E338" t="s">
        <v>61</v>
      </c>
      <c r="F338" t="s">
        <v>17</v>
      </c>
      <c r="G338" t="s">
        <v>18</v>
      </c>
      <c r="H338" t="s">
        <v>19</v>
      </c>
      <c r="I338">
        <v>4</v>
      </c>
      <c r="J338">
        <v>13648</v>
      </c>
      <c r="K338">
        <v>3959.89</v>
      </c>
      <c r="L338">
        <v>0</v>
      </c>
      <c r="M338" t="s">
        <v>45</v>
      </c>
      <c r="N338" t="str">
        <f>TEXT(Table1[[#This Row],[Order Date]],"MMMM")</f>
        <v>October</v>
      </c>
      <c r="O338">
        <f>YEAR(Table1[[#This Row],[Order Date]])</f>
        <v>2025</v>
      </c>
      <c r="P338" t="str">
        <f>"Q"&amp;ROUNDUP(MONTH(Table1[[#This Row],[Order Date]])/3,0)</f>
        <v>Q4</v>
      </c>
      <c r="Q338" s="3">
        <f>Table1[[#This Row],[Profit]]/Table1[[#This Row],[Sales]]</f>
        <v>0.29014434349355217</v>
      </c>
      <c r="R338" t="str">
        <f>IF(Table1[[#This Row],[Sales]]&lt;1000,"LOW",IF(Table1[[#This Row],[Sales]]&lt;5000,"MEDIUM","HIGH"))</f>
        <v>HIGH</v>
      </c>
      <c r="S338" s="2">
        <f>Table1[[#This Row],[Discount]]/100</f>
        <v>0</v>
      </c>
    </row>
    <row r="339" spans="1:19" x14ac:dyDescent="0.3">
      <c r="A339">
        <v>10338</v>
      </c>
      <c r="B339" s="1" t="s">
        <v>170</v>
      </c>
      <c r="C339" t="s">
        <v>148</v>
      </c>
      <c r="D339" t="s">
        <v>15</v>
      </c>
      <c r="E339" t="s">
        <v>16</v>
      </c>
      <c r="F339" t="s">
        <v>31</v>
      </c>
      <c r="G339" t="s">
        <v>124</v>
      </c>
      <c r="H339" t="s">
        <v>125</v>
      </c>
      <c r="I339">
        <v>8</v>
      </c>
      <c r="J339">
        <v>7392</v>
      </c>
      <c r="K339">
        <v>1649.15</v>
      </c>
      <c r="L339">
        <v>20</v>
      </c>
      <c r="M339" t="s">
        <v>45</v>
      </c>
      <c r="N339" t="str">
        <f>TEXT(Table1[[#This Row],[Order Date]],"MMMM")</f>
        <v>February</v>
      </c>
      <c r="O339">
        <f>YEAR(Table1[[#This Row],[Order Date]])</f>
        <v>2025</v>
      </c>
      <c r="P339" t="str">
        <f>"Q"&amp;ROUNDUP(MONTH(Table1[[#This Row],[Order Date]])/3,0)</f>
        <v>Q1</v>
      </c>
      <c r="Q339" s="3">
        <f>Table1[[#This Row],[Profit]]/Table1[[#This Row],[Sales]]</f>
        <v>0.22309929653679655</v>
      </c>
      <c r="R339" t="str">
        <f>IF(Table1[[#This Row],[Sales]]&lt;1000,"LOW",IF(Table1[[#This Row],[Sales]]&lt;5000,"MEDIUM","HIGH"))</f>
        <v>HIGH</v>
      </c>
      <c r="S339" s="2">
        <f>Table1[[#This Row],[Discount]]/100</f>
        <v>0.2</v>
      </c>
    </row>
    <row r="340" spans="1:19" x14ac:dyDescent="0.3">
      <c r="A340">
        <v>10339</v>
      </c>
      <c r="B340" s="1" t="s">
        <v>340</v>
      </c>
      <c r="C340" t="s">
        <v>222</v>
      </c>
      <c r="D340" t="s">
        <v>56</v>
      </c>
      <c r="E340" t="s">
        <v>57</v>
      </c>
      <c r="F340" t="s">
        <v>25</v>
      </c>
      <c r="G340" t="s">
        <v>26</v>
      </c>
      <c r="H340" t="s">
        <v>48</v>
      </c>
      <c r="I340">
        <v>8</v>
      </c>
      <c r="J340">
        <v>1271.5999999999999</v>
      </c>
      <c r="K340">
        <v>374.98</v>
      </c>
      <c r="L340">
        <v>15</v>
      </c>
      <c r="M340" t="s">
        <v>40</v>
      </c>
      <c r="N340" t="str">
        <f>TEXT(Table1[[#This Row],[Order Date]],"MMMM")</f>
        <v>November</v>
      </c>
      <c r="O340">
        <f>YEAR(Table1[[#This Row],[Order Date]])</f>
        <v>2025</v>
      </c>
      <c r="P340" t="str">
        <f>"Q"&amp;ROUNDUP(MONTH(Table1[[#This Row],[Order Date]])/3,0)</f>
        <v>Q4</v>
      </c>
      <c r="Q340" s="3">
        <f>Table1[[#This Row],[Profit]]/Table1[[#This Row],[Sales]]</f>
        <v>0.29488832966341622</v>
      </c>
      <c r="R340" t="str">
        <f>IF(Table1[[#This Row],[Sales]]&lt;1000,"LOW",IF(Table1[[#This Row],[Sales]]&lt;5000,"MEDIUM","HIGH"))</f>
        <v>MEDIUM</v>
      </c>
      <c r="S340" s="2">
        <f>Table1[[#This Row],[Discount]]/100</f>
        <v>0.15</v>
      </c>
    </row>
    <row r="341" spans="1:19" x14ac:dyDescent="0.3">
      <c r="A341">
        <v>10340</v>
      </c>
      <c r="B341" s="1" t="s">
        <v>215</v>
      </c>
      <c r="C341" t="s">
        <v>219</v>
      </c>
      <c r="D341" t="s">
        <v>36</v>
      </c>
      <c r="E341" t="s">
        <v>37</v>
      </c>
      <c r="F341" t="s">
        <v>31</v>
      </c>
      <c r="G341" t="s">
        <v>32</v>
      </c>
      <c r="H341" t="s">
        <v>33</v>
      </c>
      <c r="I341">
        <v>8</v>
      </c>
      <c r="J341">
        <v>15904</v>
      </c>
      <c r="K341">
        <v>3822.44</v>
      </c>
      <c r="L341">
        <v>20</v>
      </c>
      <c r="M341" t="s">
        <v>20</v>
      </c>
      <c r="N341" t="str">
        <f>TEXT(Table1[[#This Row],[Order Date]],"MMMM")</f>
        <v>April</v>
      </c>
      <c r="O341">
        <f>YEAR(Table1[[#This Row],[Order Date]])</f>
        <v>2025</v>
      </c>
      <c r="P341" t="str">
        <f>"Q"&amp;ROUNDUP(MONTH(Table1[[#This Row],[Order Date]])/3,0)</f>
        <v>Q2</v>
      </c>
      <c r="Q341" s="3">
        <f>Table1[[#This Row],[Profit]]/Table1[[#This Row],[Sales]]</f>
        <v>0.24034456740442656</v>
      </c>
      <c r="R341" t="str">
        <f>IF(Table1[[#This Row],[Sales]]&lt;1000,"LOW",IF(Table1[[#This Row],[Sales]]&lt;5000,"MEDIUM","HIGH"))</f>
        <v>HIGH</v>
      </c>
      <c r="S341" s="2">
        <f>Table1[[#This Row],[Discount]]/100</f>
        <v>0.2</v>
      </c>
    </row>
    <row r="342" spans="1:19" x14ac:dyDescent="0.3">
      <c r="A342">
        <v>10341</v>
      </c>
      <c r="B342" s="1" t="s">
        <v>305</v>
      </c>
      <c r="C342" t="s">
        <v>212</v>
      </c>
      <c r="D342" t="s">
        <v>66</v>
      </c>
      <c r="E342" t="s">
        <v>16</v>
      </c>
      <c r="F342" t="s">
        <v>25</v>
      </c>
      <c r="G342" t="s">
        <v>26</v>
      </c>
      <c r="H342" t="s">
        <v>48</v>
      </c>
      <c r="I342">
        <v>1</v>
      </c>
      <c r="J342">
        <v>2114.8000000000002</v>
      </c>
      <c r="K342">
        <v>350.91</v>
      </c>
      <c r="L342">
        <v>15</v>
      </c>
      <c r="M342" t="s">
        <v>20</v>
      </c>
      <c r="N342" t="str">
        <f>TEXT(Table1[[#This Row],[Order Date]],"MMMM")</f>
        <v>July</v>
      </c>
      <c r="O342">
        <f>YEAR(Table1[[#This Row],[Order Date]])</f>
        <v>2025</v>
      </c>
      <c r="P342" t="str">
        <f>"Q"&amp;ROUNDUP(MONTH(Table1[[#This Row],[Order Date]])/3,0)</f>
        <v>Q3</v>
      </c>
      <c r="Q342" s="3">
        <f>Table1[[#This Row],[Profit]]/Table1[[#This Row],[Sales]]</f>
        <v>0.16593058445243047</v>
      </c>
      <c r="R342" t="str">
        <f>IF(Table1[[#This Row],[Sales]]&lt;1000,"LOW",IF(Table1[[#This Row],[Sales]]&lt;5000,"MEDIUM","HIGH"))</f>
        <v>MEDIUM</v>
      </c>
      <c r="S342" s="2">
        <f>Table1[[#This Row],[Discount]]/100</f>
        <v>0.15</v>
      </c>
    </row>
    <row r="343" spans="1:19" x14ac:dyDescent="0.3">
      <c r="A343">
        <v>10342</v>
      </c>
      <c r="B343" s="1" t="s">
        <v>442</v>
      </c>
      <c r="C343" t="s">
        <v>297</v>
      </c>
      <c r="D343" t="s">
        <v>23</v>
      </c>
      <c r="E343" t="s">
        <v>24</v>
      </c>
      <c r="F343" t="s">
        <v>17</v>
      </c>
      <c r="G343" t="s">
        <v>75</v>
      </c>
      <c r="H343" t="s">
        <v>76</v>
      </c>
      <c r="I343">
        <v>8</v>
      </c>
      <c r="J343">
        <v>22784.799999999999</v>
      </c>
      <c r="K343">
        <v>6697.35</v>
      </c>
      <c r="L343">
        <v>5</v>
      </c>
      <c r="M343" t="s">
        <v>40</v>
      </c>
      <c r="N343" t="str">
        <f>TEXT(Table1[[#This Row],[Order Date]],"MMMM")</f>
        <v>February</v>
      </c>
      <c r="O343">
        <f>YEAR(Table1[[#This Row],[Order Date]])</f>
        <v>2025</v>
      </c>
      <c r="P343" t="str">
        <f>"Q"&amp;ROUNDUP(MONTH(Table1[[#This Row],[Order Date]])/3,0)</f>
        <v>Q1</v>
      </c>
      <c r="Q343" s="3">
        <f>Table1[[#This Row],[Profit]]/Table1[[#This Row],[Sales]]</f>
        <v>0.29393938063972475</v>
      </c>
      <c r="R343" t="str">
        <f>IF(Table1[[#This Row],[Sales]]&lt;1000,"LOW",IF(Table1[[#This Row],[Sales]]&lt;5000,"MEDIUM","HIGH"))</f>
        <v>HIGH</v>
      </c>
      <c r="S343" s="2">
        <f>Table1[[#This Row],[Discount]]/100</f>
        <v>0.05</v>
      </c>
    </row>
    <row r="344" spans="1:19" x14ac:dyDescent="0.3">
      <c r="A344">
        <v>10343</v>
      </c>
      <c r="B344" s="1" t="s">
        <v>429</v>
      </c>
      <c r="C344" t="s">
        <v>150</v>
      </c>
      <c r="D344" t="s">
        <v>60</v>
      </c>
      <c r="E344" t="s">
        <v>61</v>
      </c>
      <c r="F344" t="s">
        <v>17</v>
      </c>
      <c r="G344" t="s">
        <v>75</v>
      </c>
      <c r="H344" t="s">
        <v>116</v>
      </c>
      <c r="I344">
        <v>3</v>
      </c>
      <c r="J344">
        <v>1185</v>
      </c>
      <c r="K344">
        <v>107.55</v>
      </c>
      <c r="L344">
        <v>0</v>
      </c>
      <c r="M344" t="s">
        <v>28</v>
      </c>
      <c r="N344" t="str">
        <f>TEXT(Table1[[#This Row],[Order Date]],"MMMM")</f>
        <v>September</v>
      </c>
      <c r="O344">
        <f>YEAR(Table1[[#This Row],[Order Date]])</f>
        <v>2025</v>
      </c>
      <c r="P344" t="str">
        <f>"Q"&amp;ROUNDUP(MONTH(Table1[[#This Row],[Order Date]])/3,0)</f>
        <v>Q3</v>
      </c>
      <c r="Q344" s="3">
        <f>Table1[[#This Row],[Profit]]/Table1[[#This Row],[Sales]]</f>
        <v>9.0759493670886079E-2</v>
      </c>
      <c r="R344" t="str">
        <f>IF(Table1[[#This Row],[Sales]]&lt;1000,"LOW",IF(Table1[[#This Row],[Sales]]&lt;5000,"MEDIUM","HIGH"))</f>
        <v>MEDIUM</v>
      </c>
      <c r="S344" s="2">
        <f>Table1[[#This Row],[Discount]]/100</f>
        <v>0</v>
      </c>
    </row>
    <row r="345" spans="1:19" x14ac:dyDescent="0.3">
      <c r="A345">
        <v>10344</v>
      </c>
      <c r="B345" s="1" t="s">
        <v>62</v>
      </c>
      <c r="C345" t="s">
        <v>269</v>
      </c>
      <c r="D345" t="s">
        <v>66</v>
      </c>
      <c r="E345" t="s">
        <v>16</v>
      </c>
      <c r="F345" t="s">
        <v>25</v>
      </c>
      <c r="G345" t="s">
        <v>26</v>
      </c>
      <c r="H345" t="s">
        <v>27</v>
      </c>
      <c r="I345">
        <v>4</v>
      </c>
      <c r="J345">
        <v>4903.2</v>
      </c>
      <c r="K345">
        <v>851.54</v>
      </c>
      <c r="L345">
        <v>10</v>
      </c>
      <c r="M345" t="s">
        <v>49</v>
      </c>
      <c r="N345" t="str">
        <f>TEXT(Table1[[#This Row],[Order Date]],"MMMM")</f>
        <v>May</v>
      </c>
      <c r="O345">
        <f>YEAR(Table1[[#This Row],[Order Date]])</f>
        <v>2025</v>
      </c>
      <c r="P345" t="str">
        <f>"Q"&amp;ROUNDUP(MONTH(Table1[[#This Row],[Order Date]])/3,0)</f>
        <v>Q2</v>
      </c>
      <c r="Q345" s="3">
        <f>Table1[[#This Row],[Profit]]/Table1[[#This Row],[Sales]]</f>
        <v>0.17367025615924295</v>
      </c>
      <c r="R345" t="str">
        <f>IF(Table1[[#This Row],[Sales]]&lt;1000,"LOW",IF(Table1[[#This Row],[Sales]]&lt;5000,"MEDIUM","HIGH"))</f>
        <v>MEDIUM</v>
      </c>
      <c r="S345" s="2">
        <f>Table1[[#This Row],[Discount]]/100</f>
        <v>0.1</v>
      </c>
    </row>
    <row r="346" spans="1:19" x14ac:dyDescent="0.3">
      <c r="A346">
        <v>10345</v>
      </c>
      <c r="B346" s="1" t="s">
        <v>77</v>
      </c>
      <c r="C346" t="s">
        <v>233</v>
      </c>
      <c r="D346" t="s">
        <v>66</v>
      </c>
      <c r="E346" t="s">
        <v>16</v>
      </c>
      <c r="F346" t="s">
        <v>17</v>
      </c>
      <c r="G346" t="s">
        <v>43</v>
      </c>
      <c r="H346" t="s">
        <v>44</v>
      </c>
      <c r="I346">
        <v>6</v>
      </c>
      <c r="J346">
        <v>7852.8</v>
      </c>
      <c r="K346">
        <v>1825.13</v>
      </c>
      <c r="L346">
        <v>20</v>
      </c>
      <c r="M346" t="s">
        <v>49</v>
      </c>
      <c r="N346" t="str">
        <f>TEXT(Table1[[#This Row],[Order Date]],"MMMM")</f>
        <v>March</v>
      </c>
      <c r="O346">
        <f>YEAR(Table1[[#This Row],[Order Date]])</f>
        <v>2025</v>
      </c>
      <c r="P346" t="str">
        <f>"Q"&amp;ROUNDUP(MONTH(Table1[[#This Row],[Order Date]])/3,0)</f>
        <v>Q1</v>
      </c>
      <c r="Q346" s="3">
        <f>Table1[[#This Row],[Profit]]/Table1[[#This Row],[Sales]]</f>
        <v>0.23241773634881827</v>
      </c>
      <c r="R346" t="str">
        <f>IF(Table1[[#This Row],[Sales]]&lt;1000,"LOW",IF(Table1[[#This Row],[Sales]]&lt;5000,"MEDIUM","HIGH"))</f>
        <v>HIGH</v>
      </c>
      <c r="S346" s="2">
        <f>Table1[[#This Row],[Discount]]/100</f>
        <v>0.2</v>
      </c>
    </row>
    <row r="347" spans="1:19" x14ac:dyDescent="0.3">
      <c r="A347">
        <v>10346</v>
      </c>
      <c r="B347" s="1" t="s">
        <v>175</v>
      </c>
      <c r="C347" t="s">
        <v>281</v>
      </c>
      <c r="D347" t="s">
        <v>52</v>
      </c>
      <c r="E347" t="s">
        <v>53</v>
      </c>
      <c r="F347" t="s">
        <v>25</v>
      </c>
      <c r="G347" t="s">
        <v>26</v>
      </c>
      <c r="H347" t="s">
        <v>71</v>
      </c>
      <c r="I347">
        <v>3</v>
      </c>
      <c r="J347">
        <v>4588.5</v>
      </c>
      <c r="K347">
        <v>932.33</v>
      </c>
      <c r="L347">
        <v>5</v>
      </c>
      <c r="M347" t="s">
        <v>49</v>
      </c>
      <c r="N347" t="str">
        <f>TEXT(Table1[[#This Row],[Order Date]],"MMMM")</f>
        <v>January</v>
      </c>
      <c r="O347">
        <f>YEAR(Table1[[#This Row],[Order Date]])</f>
        <v>2025</v>
      </c>
      <c r="P347" t="str">
        <f>"Q"&amp;ROUNDUP(MONTH(Table1[[#This Row],[Order Date]])/3,0)</f>
        <v>Q1</v>
      </c>
      <c r="Q347" s="3">
        <f>Table1[[#This Row],[Profit]]/Table1[[#This Row],[Sales]]</f>
        <v>0.20318840579710146</v>
      </c>
      <c r="R347" t="str">
        <f>IF(Table1[[#This Row],[Sales]]&lt;1000,"LOW",IF(Table1[[#This Row],[Sales]]&lt;5000,"MEDIUM","HIGH"))</f>
        <v>MEDIUM</v>
      </c>
      <c r="S347" s="2">
        <f>Table1[[#This Row],[Discount]]/100</f>
        <v>0.05</v>
      </c>
    </row>
    <row r="348" spans="1:19" x14ac:dyDescent="0.3">
      <c r="A348">
        <v>10347</v>
      </c>
      <c r="B348" s="1" t="s">
        <v>414</v>
      </c>
      <c r="C348" t="s">
        <v>139</v>
      </c>
      <c r="D348" t="s">
        <v>15</v>
      </c>
      <c r="E348" t="s">
        <v>16</v>
      </c>
      <c r="F348" t="s">
        <v>25</v>
      </c>
      <c r="G348" t="s">
        <v>26</v>
      </c>
      <c r="H348" t="s">
        <v>27</v>
      </c>
      <c r="I348">
        <v>1</v>
      </c>
      <c r="J348">
        <v>4188</v>
      </c>
      <c r="K348">
        <v>622.85</v>
      </c>
      <c r="L348">
        <v>0</v>
      </c>
      <c r="M348" t="s">
        <v>40</v>
      </c>
      <c r="N348" t="str">
        <f>TEXT(Table1[[#This Row],[Order Date]],"MMMM")</f>
        <v>October</v>
      </c>
      <c r="O348">
        <f>YEAR(Table1[[#This Row],[Order Date]])</f>
        <v>2025</v>
      </c>
      <c r="P348" t="str">
        <f>"Q"&amp;ROUNDUP(MONTH(Table1[[#This Row],[Order Date]])/3,0)</f>
        <v>Q4</v>
      </c>
      <c r="Q348" s="3">
        <f>Table1[[#This Row],[Profit]]/Table1[[#This Row],[Sales]]</f>
        <v>0.14872254059216811</v>
      </c>
      <c r="R348" t="str">
        <f>IF(Table1[[#This Row],[Sales]]&lt;1000,"LOW",IF(Table1[[#This Row],[Sales]]&lt;5000,"MEDIUM","HIGH"))</f>
        <v>MEDIUM</v>
      </c>
      <c r="S348" s="2">
        <f>Table1[[#This Row],[Discount]]/100</f>
        <v>0</v>
      </c>
    </row>
    <row r="349" spans="1:19" x14ac:dyDescent="0.3">
      <c r="A349">
        <v>10348</v>
      </c>
      <c r="B349" s="1" t="s">
        <v>224</v>
      </c>
      <c r="C349" t="s">
        <v>443</v>
      </c>
      <c r="D349" t="s">
        <v>74</v>
      </c>
      <c r="E349" t="s">
        <v>74</v>
      </c>
      <c r="F349" t="s">
        <v>25</v>
      </c>
      <c r="G349" t="s">
        <v>26</v>
      </c>
      <c r="H349" t="s">
        <v>48</v>
      </c>
      <c r="I349">
        <v>1</v>
      </c>
      <c r="J349">
        <v>2209.5</v>
      </c>
      <c r="K349">
        <v>382.53</v>
      </c>
      <c r="L349">
        <v>10</v>
      </c>
      <c r="M349" t="s">
        <v>28</v>
      </c>
      <c r="N349" t="str">
        <f>TEXT(Table1[[#This Row],[Order Date]],"MMMM")</f>
        <v>August</v>
      </c>
      <c r="O349">
        <f>YEAR(Table1[[#This Row],[Order Date]])</f>
        <v>2025</v>
      </c>
      <c r="P349" t="str">
        <f>"Q"&amp;ROUNDUP(MONTH(Table1[[#This Row],[Order Date]])/3,0)</f>
        <v>Q3</v>
      </c>
      <c r="Q349" s="3">
        <f>Table1[[#This Row],[Profit]]/Table1[[#This Row],[Sales]]</f>
        <v>0.17312966734555327</v>
      </c>
      <c r="R349" t="str">
        <f>IF(Table1[[#This Row],[Sales]]&lt;1000,"LOW",IF(Table1[[#This Row],[Sales]]&lt;5000,"MEDIUM","HIGH"))</f>
        <v>MEDIUM</v>
      </c>
      <c r="S349" s="2">
        <f>Table1[[#This Row],[Discount]]/100</f>
        <v>0.1</v>
      </c>
    </row>
    <row r="350" spans="1:19" x14ac:dyDescent="0.3">
      <c r="A350">
        <v>10349</v>
      </c>
      <c r="B350" s="1" t="s">
        <v>310</v>
      </c>
      <c r="C350" t="s">
        <v>51</v>
      </c>
      <c r="D350" t="s">
        <v>36</v>
      </c>
      <c r="E350" t="s">
        <v>37</v>
      </c>
      <c r="F350" t="s">
        <v>31</v>
      </c>
      <c r="G350" t="s">
        <v>124</v>
      </c>
      <c r="H350" t="s">
        <v>125</v>
      </c>
      <c r="I350">
        <v>4</v>
      </c>
      <c r="J350">
        <v>4064</v>
      </c>
      <c r="K350">
        <v>440.41</v>
      </c>
      <c r="L350">
        <v>20</v>
      </c>
      <c r="M350" t="s">
        <v>45</v>
      </c>
      <c r="N350" t="str">
        <f>TEXT(Table1[[#This Row],[Order Date]],"MMMM")</f>
        <v>April</v>
      </c>
      <c r="O350">
        <f>YEAR(Table1[[#This Row],[Order Date]])</f>
        <v>2025</v>
      </c>
      <c r="P350" t="str">
        <f>"Q"&amp;ROUNDUP(MONTH(Table1[[#This Row],[Order Date]])/3,0)</f>
        <v>Q2</v>
      </c>
      <c r="Q350" s="3">
        <f>Table1[[#This Row],[Profit]]/Table1[[#This Row],[Sales]]</f>
        <v>0.10836860236220473</v>
      </c>
      <c r="R350" t="str">
        <f>IF(Table1[[#This Row],[Sales]]&lt;1000,"LOW",IF(Table1[[#This Row],[Sales]]&lt;5000,"MEDIUM","HIGH"))</f>
        <v>MEDIUM</v>
      </c>
      <c r="S350" s="2">
        <f>Table1[[#This Row],[Discount]]/100</f>
        <v>0.2</v>
      </c>
    </row>
    <row r="351" spans="1:19" x14ac:dyDescent="0.3">
      <c r="A351">
        <v>10350</v>
      </c>
      <c r="B351" s="1" t="s">
        <v>122</v>
      </c>
      <c r="C351" t="s">
        <v>238</v>
      </c>
      <c r="D351" t="s">
        <v>15</v>
      </c>
      <c r="E351" t="s">
        <v>16</v>
      </c>
      <c r="F351" t="s">
        <v>25</v>
      </c>
      <c r="G351" t="s">
        <v>26</v>
      </c>
      <c r="H351" t="s">
        <v>27</v>
      </c>
      <c r="I351">
        <v>2</v>
      </c>
      <c r="J351">
        <v>1312</v>
      </c>
      <c r="K351">
        <v>184.71</v>
      </c>
      <c r="L351">
        <v>20</v>
      </c>
      <c r="M351" t="s">
        <v>49</v>
      </c>
      <c r="N351" t="str">
        <f>TEXT(Table1[[#This Row],[Order Date]],"MMMM")</f>
        <v>September</v>
      </c>
      <c r="O351">
        <f>YEAR(Table1[[#This Row],[Order Date]])</f>
        <v>2025</v>
      </c>
      <c r="P351" t="str">
        <f>"Q"&amp;ROUNDUP(MONTH(Table1[[#This Row],[Order Date]])/3,0)</f>
        <v>Q3</v>
      </c>
      <c r="Q351" s="3">
        <f>Table1[[#This Row],[Profit]]/Table1[[#This Row],[Sales]]</f>
        <v>0.14078506097560975</v>
      </c>
      <c r="R351" t="str">
        <f>IF(Table1[[#This Row],[Sales]]&lt;1000,"LOW",IF(Table1[[#This Row],[Sales]]&lt;5000,"MEDIUM","HIGH"))</f>
        <v>MEDIUM</v>
      </c>
      <c r="S351" s="2">
        <f>Table1[[#This Row],[Discount]]/100</f>
        <v>0.2</v>
      </c>
    </row>
    <row r="352" spans="1:19" x14ac:dyDescent="0.3">
      <c r="A352">
        <v>10351</v>
      </c>
      <c r="B352" s="1" t="s">
        <v>323</v>
      </c>
      <c r="C352" t="s">
        <v>444</v>
      </c>
      <c r="D352" t="s">
        <v>74</v>
      </c>
      <c r="E352" t="s">
        <v>74</v>
      </c>
      <c r="F352" t="s">
        <v>17</v>
      </c>
      <c r="G352" t="s">
        <v>43</v>
      </c>
      <c r="H352" t="s">
        <v>44</v>
      </c>
      <c r="I352">
        <v>4</v>
      </c>
      <c r="J352">
        <v>5933</v>
      </c>
      <c r="K352">
        <v>1665.34</v>
      </c>
      <c r="L352">
        <v>15</v>
      </c>
      <c r="M352" t="s">
        <v>45</v>
      </c>
      <c r="N352" t="str">
        <f>TEXT(Table1[[#This Row],[Order Date]],"MMMM")</f>
        <v>December</v>
      </c>
      <c r="O352">
        <f>YEAR(Table1[[#This Row],[Order Date]])</f>
        <v>2025</v>
      </c>
      <c r="P352" t="str">
        <f>"Q"&amp;ROUNDUP(MONTH(Table1[[#This Row],[Order Date]])/3,0)</f>
        <v>Q4</v>
      </c>
      <c r="Q352" s="3">
        <f>Table1[[#This Row],[Profit]]/Table1[[#This Row],[Sales]]</f>
        <v>0.28069105005899209</v>
      </c>
      <c r="R352" t="str">
        <f>IF(Table1[[#This Row],[Sales]]&lt;1000,"LOW",IF(Table1[[#This Row],[Sales]]&lt;5000,"MEDIUM","HIGH"))</f>
        <v>HIGH</v>
      </c>
      <c r="S352" s="2">
        <f>Table1[[#This Row],[Discount]]/100</f>
        <v>0.15</v>
      </c>
    </row>
    <row r="353" spans="1:19" x14ac:dyDescent="0.3">
      <c r="A353">
        <v>10352</v>
      </c>
      <c r="B353" s="1" t="s">
        <v>138</v>
      </c>
      <c r="C353" t="s">
        <v>445</v>
      </c>
      <c r="D353" t="s">
        <v>52</v>
      </c>
      <c r="E353" t="s">
        <v>53</v>
      </c>
      <c r="F353" t="s">
        <v>17</v>
      </c>
      <c r="G353" t="s">
        <v>43</v>
      </c>
      <c r="H353" t="s">
        <v>44</v>
      </c>
      <c r="I353">
        <v>3</v>
      </c>
      <c r="J353">
        <v>12291</v>
      </c>
      <c r="K353">
        <v>2049.88</v>
      </c>
      <c r="L353">
        <v>0</v>
      </c>
      <c r="M353" t="s">
        <v>49</v>
      </c>
      <c r="N353" t="str">
        <f>TEXT(Table1[[#This Row],[Order Date]],"MMMM")</f>
        <v>January</v>
      </c>
      <c r="O353">
        <f>YEAR(Table1[[#This Row],[Order Date]])</f>
        <v>2025</v>
      </c>
      <c r="P353" t="str">
        <f>"Q"&amp;ROUNDUP(MONTH(Table1[[#This Row],[Order Date]])/3,0)</f>
        <v>Q1</v>
      </c>
      <c r="Q353" s="3">
        <f>Table1[[#This Row],[Profit]]/Table1[[#This Row],[Sales]]</f>
        <v>0.16677894394272233</v>
      </c>
      <c r="R353" t="str">
        <f>IF(Table1[[#This Row],[Sales]]&lt;1000,"LOW",IF(Table1[[#This Row],[Sales]]&lt;5000,"MEDIUM","HIGH"))</f>
        <v>HIGH</v>
      </c>
      <c r="S353" s="2">
        <f>Table1[[#This Row],[Discount]]/100</f>
        <v>0</v>
      </c>
    </row>
    <row r="354" spans="1:19" x14ac:dyDescent="0.3">
      <c r="A354">
        <v>10353</v>
      </c>
      <c r="B354" s="1" t="s">
        <v>34</v>
      </c>
      <c r="C354" t="s">
        <v>249</v>
      </c>
      <c r="D354" t="s">
        <v>52</v>
      </c>
      <c r="E354" t="s">
        <v>53</v>
      </c>
      <c r="F354" t="s">
        <v>31</v>
      </c>
      <c r="G354" t="s">
        <v>32</v>
      </c>
      <c r="H354" t="s">
        <v>33</v>
      </c>
      <c r="I354">
        <v>4</v>
      </c>
      <c r="J354">
        <v>3427.2</v>
      </c>
      <c r="K354">
        <v>891.59</v>
      </c>
      <c r="L354">
        <v>20</v>
      </c>
      <c r="M354" t="s">
        <v>40</v>
      </c>
      <c r="N354" t="str">
        <f>TEXT(Table1[[#This Row],[Order Date]],"MMMM")</f>
        <v>September</v>
      </c>
      <c r="O354">
        <f>YEAR(Table1[[#This Row],[Order Date]])</f>
        <v>2025</v>
      </c>
      <c r="P354" t="str">
        <f>"Q"&amp;ROUNDUP(MONTH(Table1[[#This Row],[Order Date]])/3,0)</f>
        <v>Q3</v>
      </c>
      <c r="Q354" s="3">
        <f>Table1[[#This Row],[Profit]]/Table1[[#This Row],[Sales]]</f>
        <v>0.26015114379084969</v>
      </c>
      <c r="R354" t="str">
        <f>IF(Table1[[#This Row],[Sales]]&lt;1000,"LOW",IF(Table1[[#This Row],[Sales]]&lt;5000,"MEDIUM","HIGH"))</f>
        <v>MEDIUM</v>
      </c>
      <c r="S354" s="2">
        <f>Table1[[#This Row],[Discount]]/100</f>
        <v>0.2</v>
      </c>
    </row>
    <row r="355" spans="1:19" x14ac:dyDescent="0.3">
      <c r="A355">
        <v>10354</v>
      </c>
      <c r="B355" s="1" t="s">
        <v>234</v>
      </c>
      <c r="C355" t="s">
        <v>201</v>
      </c>
      <c r="D355" t="s">
        <v>60</v>
      </c>
      <c r="E355" t="s">
        <v>61</v>
      </c>
      <c r="F355" t="s">
        <v>31</v>
      </c>
      <c r="G355" t="s">
        <v>124</v>
      </c>
      <c r="H355" t="s">
        <v>125</v>
      </c>
      <c r="I355">
        <v>1</v>
      </c>
      <c r="J355">
        <v>107.35</v>
      </c>
      <c r="K355">
        <v>25.66</v>
      </c>
      <c r="L355">
        <v>5</v>
      </c>
      <c r="M355" t="s">
        <v>20</v>
      </c>
      <c r="N355" t="str">
        <f>TEXT(Table1[[#This Row],[Order Date]],"MMMM")</f>
        <v>March</v>
      </c>
      <c r="O355">
        <f>YEAR(Table1[[#This Row],[Order Date]])</f>
        <v>2025</v>
      </c>
      <c r="P355" t="str">
        <f>"Q"&amp;ROUNDUP(MONTH(Table1[[#This Row],[Order Date]])/3,0)</f>
        <v>Q1</v>
      </c>
      <c r="Q355" s="3">
        <f>Table1[[#This Row],[Profit]]/Table1[[#This Row],[Sales]]</f>
        <v>0.23903120633442013</v>
      </c>
      <c r="R355" t="str">
        <f>IF(Table1[[#This Row],[Sales]]&lt;1000,"LOW",IF(Table1[[#This Row],[Sales]]&lt;5000,"MEDIUM","HIGH"))</f>
        <v>LOW</v>
      </c>
      <c r="S355" s="2">
        <f>Table1[[#This Row],[Discount]]/100</f>
        <v>0.05</v>
      </c>
    </row>
    <row r="356" spans="1:19" x14ac:dyDescent="0.3">
      <c r="A356">
        <v>10355</v>
      </c>
      <c r="B356" s="1" t="s">
        <v>446</v>
      </c>
      <c r="C356" t="s">
        <v>367</v>
      </c>
      <c r="D356" t="s">
        <v>52</v>
      </c>
      <c r="E356" t="s">
        <v>53</v>
      </c>
      <c r="F356" t="s">
        <v>17</v>
      </c>
      <c r="G356" t="s">
        <v>43</v>
      </c>
      <c r="H356" t="s">
        <v>44</v>
      </c>
      <c r="I356">
        <v>7</v>
      </c>
      <c r="J356">
        <v>5698</v>
      </c>
      <c r="K356">
        <v>683.77</v>
      </c>
      <c r="L356">
        <v>0</v>
      </c>
      <c r="M356" t="s">
        <v>20</v>
      </c>
      <c r="N356" t="str">
        <f>TEXT(Table1[[#This Row],[Order Date]],"MMMM")</f>
        <v>July</v>
      </c>
      <c r="O356">
        <f>YEAR(Table1[[#This Row],[Order Date]])</f>
        <v>2025</v>
      </c>
      <c r="P356" t="str">
        <f>"Q"&amp;ROUNDUP(MONTH(Table1[[#This Row],[Order Date]])/3,0)</f>
        <v>Q3</v>
      </c>
      <c r="Q356" s="3">
        <f>Table1[[#This Row],[Profit]]/Table1[[#This Row],[Sales]]</f>
        <v>0.120001755001755</v>
      </c>
      <c r="R356" t="str">
        <f>IF(Table1[[#This Row],[Sales]]&lt;1000,"LOW",IF(Table1[[#This Row],[Sales]]&lt;5000,"MEDIUM","HIGH"))</f>
        <v>HIGH</v>
      </c>
      <c r="S356" s="2">
        <f>Table1[[#This Row],[Discount]]/100</f>
        <v>0</v>
      </c>
    </row>
    <row r="357" spans="1:19" x14ac:dyDescent="0.3">
      <c r="A357">
        <v>10356</v>
      </c>
      <c r="B357" s="1" t="s">
        <v>325</v>
      </c>
      <c r="C357" t="s">
        <v>231</v>
      </c>
      <c r="D357" t="s">
        <v>74</v>
      </c>
      <c r="E357" t="s">
        <v>74</v>
      </c>
      <c r="F357" t="s">
        <v>31</v>
      </c>
      <c r="G357" t="s">
        <v>38</v>
      </c>
      <c r="H357" t="s">
        <v>39</v>
      </c>
      <c r="I357">
        <v>5</v>
      </c>
      <c r="J357">
        <v>21313.25</v>
      </c>
      <c r="K357">
        <v>5892.39</v>
      </c>
      <c r="L357">
        <v>5</v>
      </c>
      <c r="M357" t="s">
        <v>45</v>
      </c>
      <c r="N357" t="str">
        <f>TEXT(Table1[[#This Row],[Order Date]],"MMMM")</f>
        <v>November</v>
      </c>
      <c r="O357">
        <f>YEAR(Table1[[#This Row],[Order Date]])</f>
        <v>2025</v>
      </c>
      <c r="P357" t="str">
        <f>"Q"&amp;ROUNDUP(MONTH(Table1[[#This Row],[Order Date]])/3,0)</f>
        <v>Q4</v>
      </c>
      <c r="Q357" s="3">
        <f>Table1[[#This Row],[Profit]]/Table1[[#This Row],[Sales]]</f>
        <v>0.27646604811560888</v>
      </c>
      <c r="R357" t="str">
        <f>IF(Table1[[#This Row],[Sales]]&lt;1000,"LOW",IF(Table1[[#This Row],[Sales]]&lt;5000,"MEDIUM","HIGH"))</f>
        <v>HIGH</v>
      </c>
      <c r="S357" s="2">
        <f>Table1[[#This Row],[Discount]]/100</f>
        <v>0.05</v>
      </c>
    </row>
    <row r="358" spans="1:19" x14ac:dyDescent="0.3">
      <c r="A358">
        <v>10357</v>
      </c>
      <c r="B358" s="1" t="s">
        <v>447</v>
      </c>
      <c r="C358" t="s">
        <v>115</v>
      </c>
      <c r="D358" t="s">
        <v>36</v>
      </c>
      <c r="E358" t="s">
        <v>37</v>
      </c>
      <c r="F358" t="s">
        <v>31</v>
      </c>
      <c r="G358" t="s">
        <v>32</v>
      </c>
      <c r="H358" t="s">
        <v>33</v>
      </c>
      <c r="I358">
        <v>8</v>
      </c>
      <c r="J358">
        <v>14096</v>
      </c>
      <c r="K358">
        <v>3634.58</v>
      </c>
      <c r="L358">
        <v>0</v>
      </c>
      <c r="M358" t="s">
        <v>45</v>
      </c>
      <c r="N358" t="str">
        <f>TEXT(Table1[[#This Row],[Order Date]],"MMMM")</f>
        <v>August</v>
      </c>
      <c r="O358">
        <f>YEAR(Table1[[#This Row],[Order Date]])</f>
        <v>2025</v>
      </c>
      <c r="P358" t="str">
        <f>"Q"&amp;ROUNDUP(MONTH(Table1[[#This Row],[Order Date]])/3,0)</f>
        <v>Q3</v>
      </c>
      <c r="Q358" s="3">
        <f>Table1[[#This Row],[Profit]]/Table1[[#This Row],[Sales]]</f>
        <v>0.25784477866061295</v>
      </c>
      <c r="R358" t="str">
        <f>IF(Table1[[#This Row],[Sales]]&lt;1000,"LOW",IF(Table1[[#This Row],[Sales]]&lt;5000,"MEDIUM","HIGH"))</f>
        <v>HIGH</v>
      </c>
      <c r="S358" s="2">
        <f>Table1[[#This Row],[Discount]]/100</f>
        <v>0</v>
      </c>
    </row>
    <row r="359" spans="1:19" x14ac:dyDescent="0.3">
      <c r="A359">
        <v>10358</v>
      </c>
      <c r="B359" s="1" t="s">
        <v>448</v>
      </c>
      <c r="C359" t="s">
        <v>160</v>
      </c>
      <c r="D359" t="s">
        <v>74</v>
      </c>
      <c r="E359" t="s">
        <v>74</v>
      </c>
      <c r="F359" t="s">
        <v>17</v>
      </c>
      <c r="G359" t="s">
        <v>75</v>
      </c>
      <c r="H359" t="s">
        <v>76</v>
      </c>
      <c r="I359">
        <v>8</v>
      </c>
      <c r="J359">
        <v>10244.799999999999</v>
      </c>
      <c r="K359">
        <v>2102.2600000000002</v>
      </c>
      <c r="L359">
        <v>5</v>
      </c>
      <c r="M359" t="s">
        <v>28</v>
      </c>
      <c r="N359" t="str">
        <f>TEXT(Table1[[#This Row],[Order Date]],"MMMM")</f>
        <v>January</v>
      </c>
      <c r="O359">
        <f>YEAR(Table1[[#This Row],[Order Date]])</f>
        <v>2025</v>
      </c>
      <c r="P359" t="str">
        <f>"Q"&amp;ROUNDUP(MONTH(Table1[[#This Row],[Order Date]])/3,0)</f>
        <v>Q1</v>
      </c>
      <c r="Q359" s="3">
        <f>Table1[[#This Row],[Profit]]/Table1[[#This Row],[Sales]]</f>
        <v>0.20520263938778702</v>
      </c>
      <c r="R359" t="str">
        <f>IF(Table1[[#This Row],[Sales]]&lt;1000,"LOW",IF(Table1[[#This Row],[Sales]]&lt;5000,"MEDIUM","HIGH"))</f>
        <v>HIGH</v>
      </c>
      <c r="S359" s="2">
        <f>Table1[[#This Row],[Discount]]/100</f>
        <v>0.05</v>
      </c>
    </row>
    <row r="360" spans="1:19" x14ac:dyDescent="0.3">
      <c r="A360">
        <v>10359</v>
      </c>
      <c r="B360" s="1" t="s">
        <v>266</v>
      </c>
      <c r="C360" t="s">
        <v>357</v>
      </c>
      <c r="D360" t="s">
        <v>74</v>
      </c>
      <c r="E360" t="s">
        <v>74</v>
      </c>
      <c r="F360" t="s">
        <v>17</v>
      </c>
      <c r="G360" t="s">
        <v>75</v>
      </c>
      <c r="H360" t="s">
        <v>76</v>
      </c>
      <c r="I360">
        <v>3</v>
      </c>
      <c r="J360">
        <v>12579.3</v>
      </c>
      <c r="K360">
        <v>2779.1</v>
      </c>
      <c r="L360">
        <v>10</v>
      </c>
      <c r="M360" t="s">
        <v>45</v>
      </c>
      <c r="N360" t="str">
        <f>TEXT(Table1[[#This Row],[Order Date]],"MMMM")</f>
        <v>July</v>
      </c>
      <c r="O360">
        <f>YEAR(Table1[[#This Row],[Order Date]])</f>
        <v>2025</v>
      </c>
      <c r="P360" t="str">
        <f>"Q"&amp;ROUNDUP(MONTH(Table1[[#This Row],[Order Date]])/3,0)</f>
        <v>Q3</v>
      </c>
      <c r="Q360" s="3">
        <f>Table1[[#This Row],[Profit]]/Table1[[#This Row],[Sales]]</f>
        <v>0.22092644264784209</v>
      </c>
      <c r="R360" t="str">
        <f>IF(Table1[[#This Row],[Sales]]&lt;1000,"LOW",IF(Table1[[#This Row],[Sales]]&lt;5000,"MEDIUM","HIGH"))</f>
        <v>HIGH</v>
      </c>
      <c r="S360" s="2">
        <f>Table1[[#This Row],[Discount]]/100</f>
        <v>0.1</v>
      </c>
    </row>
    <row r="361" spans="1:19" x14ac:dyDescent="0.3">
      <c r="A361">
        <v>10360</v>
      </c>
      <c r="B361" s="1" t="s">
        <v>83</v>
      </c>
      <c r="C361" t="s">
        <v>88</v>
      </c>
      <c r="D361" t="s">
        <v>52</v>
      </c>
      <c r="E361" t="s">
        <v>53</v>
      </c>
      <c r="F361" t="s">
        <v>31</v>
      </c>
      <c r="G361" t="s">
        <v>32</v>
      </c>
      <c r="H361" t="s">
        <v>33</v>
      </c>
      <c r="I361">
        <v>8</v>
      </c>
      <c r="J361">
        <v>23670.799999999999</v>
      </c>
      <c r="K361">
        <v>3323.61</v>
      </c>
      <c r="L361">
        <v>15</v>
      </c>
      <c r="M361" t="s">
        <v>28</v>
      </c>
      <c r="N361" t="str">
        <f>TEXT(Table1[[#This Row],[Order Date]],"MMMM")</f>
        <v>January</v>
      </c>
      <c r="O361">
        <f>YEAR(Table1[[#This Row],[Order Date]])</f>
        <v>2025</v>
      </c>
      <c r="P361" t="str">
        <f>"Q"&amp;ROUNDUP(MONTH(Table1[[#This Row],[Order Date]])/3,0)</f>
        <v>Q1</v>
      </c>
      <c r="Q361" s="3">
        <f>Table1[[#This Row],[Profit]]/Table1[[#This Row],[Sales]]</f>
        <v>0.14040970309410752</v>
      </c>
      <c r="R361" t="str">
        <f>IF(Table1[[#This Row],[Sales]]&lt;1000,"LOW",IF(Table1[[#This Row],[Sales]]&lt;5000,"MEDIUM","HIGH"))</f>
        <v>HIGH</v>
      </c>
      <c r="S361" s="2">
        <f>Table1[[#This Row],[Discount]]/100</f>
        <v>0.15</v>
      </c>
    </row>
    <row r="362" spans="1:19" x14ac:dyDescent="0.3">
      <c r="A362">
        <v>10361</v>
      </c>
      <c r="B362" s="1" t="s">
        <v>449</v>
      </c>
      <c r="C362" t="s">
        <v>295</v>
      </c>
      <c r="D362" t="s">
        <v>52</v>
      </c>
      <c r="E362" t="s">
        <v>53</v>
      </c>
      <c r="F362" t="s">
        <v>31</v>
      </c>
      <c r="G362" t="s">
        <v>32</v>
      </c>
      <c r="H362" t="s">
        <v>33</v>
      </c>
      <c r="I362">
        <v>1</v>
      </c>
      <c r="J362">
        <v>3706.4</v>
      </c>
      <c r="K362">
        <v>784.38</v>
      </c>
      <c r="L362">
        <v>20</v>
      </c>
      <c r="M362" t="s">
        <v>45</v>
      </c>
      <c r="N362" t="str">
        <f>TEXT(Table1[[#This Row],[Order Date]],"MMMM")</f>
        <v>January</v>
      </c>
      <c r="O362">
        <f>YEAR(Table1[[#This Row],[Order Date]])</f>
        <v>2025</v>
      </c>
      <c r="P362" t="str">
        <f>"Q"&amp;ROUNDUP(MONTH(Table1[[#This Row],[Order Date]])/3,0)</f>
        <v>Q1</v>
      </c>
      <c r="Q362" s="3">
        <f>Table1[[#This Row],[Profit]]/Table1[[#This Row],[Sales]]</f>
        <v>0.21162853442693719</v>
      </c>
      <c r="R362" t="str">
        <f>IF(Table1[[#This Row],[Sales]]&lt;1000,"LOW",IF(Table1[[#This Row],[Sales]]&lt;5000,"MEDIUM","HIGH"))</f>
        <v>MEDIUM</v>
      </c>
      <c r="S362" s="2">
        <f>Table1[[#This Row],[Discount]]/100</f>
        <v>0.2</v>
      </c>
    </row>
    <row r="363" spans="1:19" x14ac:dyDescent="0.3">
      <c r="A363">
        <v>10362</v>
      </c>
      <c r="B363" s="1" t="s">
        <v>450</v>
      </c>
      <c r="C363" t="s">
        <v>231</v>
      </c>
      <c r="D363" t="s">
        <v>60</v>
      </c>
      <c r="E363" t="s">
        <v>61</v>
      </c>
      <c r="F363" t="s">
        <v>25</v>
      </c>
      <c r="G363" t="s">
        <v>26</v>
      </c>
      <c r="H363" t="s">
        <v>48</v>
      </c>
      <c r="I363">
        <v>8</v>
      </c>
      <c r="J363">
        <v>22784</v>
      </c>
      <c r="K363">
        <v>3423.25</v>
      </c>
      <c r="L363">
        <v>20</v>
      </c>
      <c r="M363" t="s">
        <v>20</v>
      </c>
      <c r="N363" t="str">
        <f>TEXT(Table1[[#This Row],[Order Date]],"MMMM")</f>
        <v>August</v>
      </c>
      <c r="O363">
        <f>YEAR(Table1[[#This Row],[Order Date]])</f>
        <v>2025</v>
      </c>
      <c r="P363" t="str">
        <f>"Q"&amp;ROUNDUP(MONTH(Table1[[#This Row],[Order Date]])/3,0)</f>
        <v>Q3</v>
      </c>
      <c r="Q363" s="3">
        <f>Table1[[#This Row],[Profit]]/Table1[[#This Row],[Sales]]</f>
        <v>0.15024798103932585</v>
      </c>
      <c r="R363" t="str">
        <f>IF(Table1[[#This Row],[Sales]]&lt;1000,"LOW",IF(Table1[[#This Row],[Sales]]&lt;5000,"MEDIUM","HIGH"))</f>
        <v>HIGH</v>
      </c>
      <c r="S363" s="2">
        <f>Table1[[#This Row],[Discount]]/100</f>
        <v>0.2</v>
      </c>
    </row>
    <row r="364" spans="1:19" x14ac:dyDescent="0.3">
      <c r="A364">
        <v>10363</v>
      </c>
      <c r="B364" s="1" t="s">
        <v>165</v>
      </c>
      <c r="C364" t="s">
        <v>328</v>
      </c>
      <c r="D364" t="s">
        <v>23</v>
      </c>
      <c r="E364" t="s">
        <v>24</v>
      </c>
      <c r="F364" t="s">
        <v>25</v>
      </c>
      <c r="G364" t="s">
        <v>26</v>
      </c>
      <c r="H364" t="s">
        <v>48</v>
      </c>
      <c r="I364">
        <v>8</v>
      </c>
      <c r="J364">
        <v>24269.200000000001</v>
      </c>
      <c r="K364">
        <v>4727.95</v>
      </c>
      <c r="L364">
        <v>15</v>
      </c>
      <c r="M364" t="s">
        <v>49</v>
      </c>
      <c r="N364" t="str">
        <f>TEXT(Table1[[#This Row],[Order Date]],"MMMM")</f>
        <v>January</v>
      </c>
      <c r="O364">
        <f>YEAR(Table1[[#This Row],[Order Date]])</f>
        <v>2025</v>
      </c>
      <c r="P364" t="str">
        <f>"Q"&amp;ROUNDUP(MONTH(Table1[[#This Row],[Order Date]])/3,0)</f>
        <v>Q1</v>
      </c>
      <c r="Q364" s="3">
        <f>Table1[[#This Row],[Profit]]/Table1[[#This Row],[Sales]]</f>
        <v>0.19481276679907042</v>
      </c>
      <c r="R364" t="str">
        <f>IF(Table1[[#This Row],[Sales]]&lt;1000,"LOW",IF(Table1[[#This Row],[Sales]]&lt;5000,"MEDIUM","HIGH"))</f>
        <v>HIGH</v>
      </c>
      <c r="S364" s="2">
        <f>Table1[[#This Row],[Discount]]/100</f>
        <v>0.15</v>
      </c>
    </row>
    <row r="365" spans="1:19" x14ac:dyDescent="0.3">
      <c r="A365">
        <v>10364</v>
      </c>
      <c r="B365" s="1" t="s">
        <v>358</v>
      </c>
      <c r="C365" t="s">
        <v>141</v>
      </c>
      <c r="D365" t="s">
        <v>52</v>
      </c>
      <c r="E365" t="s">
        <v>53</v>
      </c>
      <c r="F365" t="s">
        <v>17</v>
      </c>
      <c r="G365" t="s">
        <v>75</v>
      </c>
      <c r="H365" t="s">
        <v>116</v>
      </c>
      <c r="I365">
        <v>2</v>
      </c>
      <c r="J365">
        <v>5655.9</v>
      </c>
      <c r="K365">
        <v>469.35</v>
      </c>
      <c r="L365">
        <v>15</v>
      </c>
      <c r="M365" t="s">
        <v>40</v>
      </c>
      <c r="N365" t="str">
        <f>TEXT(Table1[[#This Row],[Order Date]],"MMMM")</f>
        <v>October</v>
      </c>
      <c r="O365">
        <f>YEAR(Table1[[#This Row],[Order Date]])</f>
        <v>2025</v>
      </c>
      <c r="P365" t="str">
        <f>"Q"&amp;ROUNDUP(MONTH(Table1[[#This Row],[Order Date]])/3,0)</f>
        <v>Q4</v>
      </c>
      <c r="Q365" s="3">
        <f>Table1[[#This Row],[Profit]]/Table1[[#This Row],[Sales]]</f>
        <v>8.2984140455099997E-2</v>
      </c>
      <c r="R365" t="str">
        <f>IF(Table1[[#This Row],[Sales]]&lt;1000,"LOW",IF(Table1[[#This Row],[Sales]]&lt;5000,"MEDIUM","HIGH"))</f>
        <v>HIGH</v>
      </c>
      <c r="S365" s="2">
        <f>Table1[[#This Row],[Discount]]/100</f>
        <v>0.15</v>
      </c>
    </row>
    <row r="366" spans="1:19" x14ac:dyDescent="0.3">
      <c r="A366">
        <v>10365</v>
      </c>
      <c r="B366" s="1" t="s">
        <v>87</v>
      </c>
      <c r="C366" t="s">
        <v>246</v>
      </c>
      <c r="D366" t="s">
        <v>60</v>
      </c>
      <c r="E366" t="s">
        <v>61</v>
      </c>
      <c r="F366" t="s">
        <v>25</v>
      </c>
      <c r="G366" t="s">
        <v>26</v>
      </c>
      <c r="H366" t="s">
        <v>27</v>
      </c>
      <c r="I366">
        <v>7</v>
      </c>
      <c r="J366">
        <v>20594.7</v>
      </c>
      <c r="K366">
        <v>2685.99</v>
      </c>
      <c r="L366">
        <v>10</v>
      </c>
      <c r="M366" t="s">
        <v>28</v>
      </c>
      <c r="N366" t="str">
        <f>TEXT(Table1[[#This Row],[Order Date]],"MMMM")</f>
        <v>July</v>
      </c>
      <c r="O366">
        <f>YEAR(Table1[[#This Row],[Order Date]])</f>
        <v>2025</v>
      </c>
      <c r="P366" t="str">
        <f>"Q"&amp;ROUNDUP(MONTH(Table1[[#This Row],[Order Date]])/3,0)</f>
        <v>Q3</v>
      </c>
      <c r="Q366" s="3">
        <f>Table1[[#This Row],[Profit]]/Table1[[#This Row],[Sales]]</f>
        <v>0.13042141910297309</v>
      </c>
      <c r="R366" t="str">
        <f>IF(Table1[[#This Row],[Sales]]&lt;1000,"LOW",IF(Table1[[#This Row],[Sales]]&lt;5000,"MEDIUM","HIGH"))</f>
        <v>HIGH</v>
      </c>
      <c r="S366" s="2">
        <f>Table1[[#This Row],[Discount]]/100</f>
        <v>0.1</v>
      </c>
    </row>
    <row r="367" spans="1:19" x14ac:dyDescent="0.3">
      <c r="A367">
        <v>10366</v>
      </c>
      <c r="B367" s="1" t="s">
        <v>83</v>
      </c>
      <c r="C367" t="s">
        <v>133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2</v>
      </c>
      <c r="J367">
        <v>1491.5</v>
      </c>
      <c r="K367">
        <v>261.08999999999997</v>
      </c>
      <c r="L367">
        <v>5</v>
      </c>
      <c r="M367" t="s">
        <v>40</v>
      </c>
      <c r="N367" t="str">
        <f>TEXT(Table1[[#This Row],[Order Date]],"MMMM")</f>
        <v>January</v>
      </c>
      <c r="O367">
        <f>YEAR(Table1[[#This Row],[Order Date]])</f>
        <v>2025</v>
      </c>
      <c r="P367" t="str">
        <f>"Q"&amp;ROUNDUP(MONTH(Table1[[#This Row],[Order Date]])/3,0)</f>
        <v>Q1</v>
      </c>
      <c r="Q367" s="3">
        <f>Table1[[#This Row],[Profit]]/Table1[[#This Row],[Sales]]</f>
        <v>0.1750519611129735</v>
      </c>
      <c r="R367" t="str">
        <f>IF(Table1[[#This Row],[Sales]]&lt;1000,"LOW",IF(Table1[[#This Row],[Sales]]&lt;5000,"MEDIUM","HIGH"))</f>
        <v>MEDIUM</v>
      </c>
      <c r="S367" s="2">
        <f>Table1[[#This Row],[Discount]]/100</f>
        <v>0.05</v>
      </c>
    </row>
    <row r="368" spans="1:19" x14ac:dyDescent="0.3">
      <c r="A368">
        <v>10367</v>
      </c>
      <c r="B368" s="1" t="s">
        <v>451</v>
      </c>
      <c r="C368" t="s">
        <v>337</v>
      </c>
      <c r="D368" t="s">
        <v>52</v>
      </c>
      <c r="E368" t="s">
        <v>53</v>
      </c>
      <c r="F368" t="s">
        <v>31</v>
      </c>
      <c r="G368" t="s">
        <v>124</v>
      </c>
      <c r="H368" t="s">
        <v>125</v>
      </c>
      <c r="I368">
        <v>1</v>
      </c>
      <c r="J368">
        <v>572.79999999999995</v>
      </c>
      <c r="K368">
        <v>90.22</v>
      </c>
      <c r="L368">
        <v>20</v>
      </c>
      <c r="M368" t="s">
        <v>40</v>
      </c>
      <c r="N368" t="str">
        <f>TEXT(Table1[[#This Row],[Order Date]],"MMMM")</f>
        <v>May</v>
      </c>
      <c r="O368">
        <f>YEAR(Table1[[#This Row],[Order Date]])</f>
        <v>2025</v>
      </c>
      <c r="P368" t="str">
        <f>"Q"&amp;ROUNDUP(MONTH(Table1[[#This Row],[Order Date]])/3,0)</f>
        <v>Q2</v>
      </c>
      <c r="Q368" s="3">
        <f>Table1[[#This Row],[Profit]]/Table1[[#This Row],[Sales]]</f>
        <v>0.15750698324022347</v>
      </c>
      <c r="R368" t="str">
        <f>IF(Table1[[#This Row],[Sales]]&lt;1000,"LOW",IF(Table1[[#This Row],[Sales]]&lt;5000,"MEDIUM","HIGH"))</f>
        <v>LOW</v>
      </c>
      <c r="S368" s="2">
        <f>Table1[[#This Row],[Discount]]/100</f>
        <v>0.2</v>
      </c>
    </row>
    <row r="369" spans="1:19" x14ac:dyDescent="0.3">
      <c r="A369">
        <v>10368</v>
      </c>
      <c r="B369" s="1" t="s">
        <v>155</v>
      </c>
      <c r="C369" t="s">
        <v>222</v>
      </c>
      <c r="D369" t="s">
        <v>66</v>
      </c>
      <c r="E369" t="s">
        <v>16</v>
      </c>
      <c r="F369" t="s">
        <v>25</v>
      </c>
      <c r="G369" t="s">
        <v>26</v>
      </c>
      <c r="H369" t="s">
        <v>48</v>
      </c>
      <c r="I369">
        <v>6</v>
      </c>
      <c r="J369">
        <v>10913.4</v>
      </c>
      <c r="K369">
        <v>3180.67</v>
      </c>
      <c r="L369">
        <v>10</v>
      </c>
      <c r="M369" t="s">
        <v>49</v>
      </c>
      <c r="N369" t="str">
        <f>TEXT(Table1[[#This Row],[Order Date]],"MMMM")</f>
        <v>May</v>
      </c>
      <c r="O369">
        <f>YEAR(Table1[[#This Row],[Order Date]])</f>
        <v>2025</v>
      </c>
      <c r="P369" t="str">
        <f>"Q"&amp;ROUNDUP(MONTH(Table1[[#This Row],[Order Date]])/3,0)</f>
        <v>Q2</v>
      </c>
      <c r="Q369" s="3">
        <f>Table1[[#This Row],[Profit]]/Table1[[#This Row],[Sales]]</f>
        <v>0.29144629537999156</v>
      </c>
      <c r="R369" t="str">
        <f>IF(Table1[[#This Row],[Sales]]&lt;1000,"LOW",IF(Table1[[#This Row],[Sales]]&lt;5000,"MEDIUM","HIGH"))</f>
        <v>HIGH</v>
      </c>
      <c r="S369" s="2">
        <f>Table1[[#This Row],[Discount]]/100</f>
        <v>0.1</v>
      </c>
    </row>
    <row r="370" spans="1:19" x14ac:dyDescent="0.3">
      <c r="A370">
        <v>10369</v>
      </c>
      <c r="B370" s="1" t="s">
        <v>452</v>
      </c>
      <c r="C370" t="s">
        <v>396</v>
      </c>
      <c r="D370" t="s">
        <v>23</v>
      </c>
      <c r="E370" t="s">
        <v>24</v>
      </c>
      <c r="F370" t="s">
        <v>31</v>
      </c>
      <c r="G370" t="s">
        <v>32</v>
      </c>
      <c r="H370" t="s">
        <v>33</v>
      </c>
      <c r="I370">
        <v>7</v>
      </c>
      <c r="J370">
        <v>11566.8</v>
      </c>
      <c r="K370">
        <v>2935.83</v>
      </c>
      <c r="L370">
        <v>15</v>
      </c>
      <c r="M370" t="s">
        <v>40</v>
      </c>
      <c r="N370" t="str">
        <f>TEXT(Table1[[#This Row],[Order Date]],"MMMM")</f>
        <v>January</v>
      </c>
      <c r="O370">
        <f>YEAR(Table1[[#This Row],[Order Date]])</f>
        <v>2025</v>
      </c>
      <c r="P370" t="str">
        <f>"Q"&amp;ROUNDUP(MONTH(Table1[[#This Row],[Order Date]])/3,0)</f>
        <v>Q1</v>
      </c>
      <c r="Q370" s="3">
        <f>Table1[[#This Row],[Profit]]/Table1[[#This Row],[Sales]]</f>
        <v>0.25381522979562199</v>
      </c>
      <c r="R370" t="str">
        <f>IF(Table1[[#This Row],[Sales]]&lt;1000,"LOW",IF(Table1[[#This Row],[Sales]]&lt;5000,"MEDIUM","HIGH"))</f>
        <v>HIGH</v>
      </c>
      <c r="S370" s="2">
        <f>Table1[[#This Row],[Discount]]/100</f>
        <v>0.15</v>
      </c>
    </row>
    <row r="371" spans="1:19" x14ac:dyDescent="0.3">
      <c r="A371">
        <v>10370</v>
      </c>
      <c r="B371" s="1" t="s">
        <v>351</v>
      </c>
      <c r="C371" t="s">
        <v>109</v>
      </c>
      <c r="D371" t="s">
        <v>74</v>
      </c>
      <c r="E371" t="s">
        <v>74</v>
      </c>
      <c r="F371" t="s">
        <v>31</v>
      </c>
      <c r="G371" t="s">
        <v>124</v>
      </c>
      <c r="H371" t="s">
        <v>125</v>
      </c>
      <c r="I371">
        <v>1</v>
      </c>
      <c r="J371">
        <v>1992.15</v>
      </c>
      <c r="K371">
        <v>596.59</v>
      </c>
      <c r="L371">
        <v>5</v>
      </c>
      <c r="M371" t="s">
        <v>49</v>
      </c>
      <c r="N371" t="str">
        <f>TEXT(Table1[[#This Row],[Order Date]],"MMMM")</f>
        <v>May</v>
      </c>
      <c r="O371">
        <f>YEAR(Table1[[#This Row],[Order Date]])</f>
        <v>2025</v>
      </c>
      <c r="P371" t="str">
        <f>"Q"&amp;ROUNDUP(MONTH(Table1[[#This Row],[Order Date]])/3,0)</f>
        <v>Q2</v>
      </c>
      <c r="Q371" s="3">
        <f>Table1[[#This Row],[Profit]]/Table1[[#This Row],[Sales]]</f>
        <v>0.29947042140401076</v>
      </c>
      <c r="R371" t="str">
        <f>IF(Table1[[#This Row],[Sales]]&lt;1000,"LOW",IF(Table1[[#This Row],[Sales]]&lt;5000,"MEDIUM","HIGH"))</f>
        <v>MEDIUM</v>
      </c>
      <c r="S371" s="2">
        <f>Table1[[#This Row],[Discount]]/100</f>
        <v>0.05</v>
      </c>
    </row>
    <row r="372" spans="1:19" x14ac:dyDescent="0.3">
      <c r="A372">
        <v>10371</v>
      </c>
      <c r="B372" s="1" t="s">
        <v>294</v>
      </c>
      <c r="C372" t="s">
        <v>249</v>
      </c>
      <c r="D372" t="s">
        <v>60</v>
      </c>
      <c r="E372" t="s">
        <v>61</v>
      </c>
      <c r="F372" t="s">
        <v>17</v>
      </c>
      <c r="G372" t="s">
        <v>43</v>
      </c>
      <c r="H372" t="s">
        <v>44</v>
      </c>
      <c r="I372">
        <v>8</v>
      </c>
      <c r="J372">
        <v>3360</v>
      </c>
      <c r="K372">
        <v>543.63</v>
      </c>
      <c r="L372">
        <v>0</v>
      </c>
      <c r="M372" t="s">
        <v>45</v>
      </c>
      <c r="N372" t="str">
        <f>TEXT(Table1[[#This Row],[Order Date]],"MMMM")</f>
        <v>August</v>
      </c>
      <c r="O372">
        <f>YEAR(Table1[[#This Row],[Order Date]])</f>
        <v>2025</v>
      </c>
      <c r="P372" t="str">
        <f>"Q"&amp;ROUNDUP(MONTH(Table1[[#This Row],[Order Date]])/3,0)</f>
        <v>Q3</v>
      </c>
      <c r="Q372" s="3">
        <f>Table1[[#This Row],[Profit]]/Table1[[#This Row],[Sales]]</f>
        <v>0.16179464285714285</v>
      </c>
      <c r="R372" t="str">
        <f>IF(Table1[[#This Row],[Sales]]&lt;1000,"LOW",IF(Table1[[#This Row],[Sales]]&lt;5000,"MEDIUM","HIGH"))</f>
        <v>MEDIUM</v>
      </c>
      <c r="S372" s="2">
        <f>Table1[[#This Row],[Discount]]/100</f>
        <v>0</v>
      </c>
    </row>
    <row r="373" spans="1:19" x14ac:dyDescent="0.3">
      <c r="A373">
        <v>10372</v>
      </c>
      <c r="B373" s="1" t="s">
        <v>120</v>
      </c>
      <c r="C373" t="s">
        <v>385</v>
      </c>
      <c r="D373" t="s">
        <v>66</v>
      </c>
      <c r="E373" t="s">
        <v>16</v>
      </c>
      <c r="F373" t="s">
        <v>17</v>
      </c>
      <c r="G373" t="s">
        <v>43</v>
      </c>
      <c r="H373" t="s">
        <v>44</v>
      </c>
      <c r="I373">
        <v>1</v>
      </c>
      <c r="J373">
        <v>2442.0500000000002</v>
      </c>
      <c r="K373">
        <v>554.85</v>
      </c>
      <c r="L373">
        <v>15</v>
      </c>
      <c r="M373" t="s">
        <v>20</v>
      </c>
      <c r="N373" t="str">
        <f>TEXT(Table1[[#This Row],[Order Date]],"MMMM")</f>
        <v>December</v>
      </c>
      <c r="O373">
        <f>YEAR(Table1[[#This Row],[Order Date]])</f>
        <v>2025</v>
      </c>
      <c r="P373" t="str">
        <f>"Q"&amp;ROUNDUP(MONTH(Table1[[#This Row],[Order Date]])/3,0)</f>
        <v>Q4</v>
      </c>
      <c r="Q373" s="3">
        <f>Table1[[#This Row],[Profit]]/Table1[[#This Row],[Sales]]</f>
        <v>0.2272066501504883</v>
      </c>
      <c r="R373" t="str">
        <f>IF(Table1[[#This Row],[Sales]]&lt;1000,"LOW",IF(Table1[[#This Row],[Sales]]&lt;5000,"MEDIUM","HIGH"))</f>
        <v>MEDIUM</v>
      </c>
      <c r="S373" s="2">
        <f>Table1[[#This Row],[Discount]]/100</f>
        <v>0.15</v>
      </c>
    </row>
    <row r="374" spans="1:19" x14ac:dyDescent="0.3">
      <c r="A374">
        <v>10373</v>
      </c>
      <c r="B374" s="1" t="s">
        <v>64</v>
      </c>
      <c r="C374" t="s">
        <v>453</v>
      </c>
      <c r="D374" t="s">
        <v>74</v>
      </c>
      <c r="E374" t="s">
        <v>74</v>
      </c>
      <c r="F374" t="s">
        <v>25</v>
      </c>
      <c r="G374" t="s">
        <v>26</v>
      </c>
      <c r="H374" t="s">
        <v>71</v>
      </c>
      <c r="I374">
        <v>4</v>
      </c>
      <c r="J374">
        <v>11268</v>
      </c>
      <c r="K374">
        <v>2645.78</v>
      </c>
      <c r="L374">
        <v>10</v>
      </c>
      <c r="M374" t="s">
        <v>40</v>
      </c>
      <c r="N374" t="str">
        <f>TEXT(Table1[[#This Row],[Order Date]],"MMMM")</f>
        <v>May</v>
      </c>
      <c r="O374">
        <f>YEAR(Table1[[#This Row],[Order Date]])</f>
        <v>2025</v>
      </c>
      <c r="P374" t="str">
        <f>"Q"&amp;ROUNDUP(MONTH(Table1[[#This Row],[Order Date]])/3,0)</f>
        <v>Q2</v>
      </c>
      <c r="Q374" s="3">
        <f>Table1[[#This Row],[Profit]]/Table1[[#This Row],[Sales]]</f>
        <v>0.23480475683351085</v>
      </c>
      <c r="R374" t="str">
        <f>IF(Table1[[#This Row],[Sales]]&lt;1000,"LOW",IF(Table1[[#This Row],[Sales]]&lt;5000,"MEDIUM","HIGH"))</f>
        <v>HIGH</v>
      </c>
      <c r="S374" s="2">
        <f>Table1[[#This Row],[Discount]]/100</f>
        <v>0.1</v>
      </c>
    </row>
    <row r="375" spans="1:19" x14ac:dyDescent="0.3">
      <c r="A375">
        <v>10374</v>
      </c>
      <c r="B375" s="1" t="s">
        <v>296</v>
      </c>
      <c r="C375" t="s">
        <v>123</v>
      </c>
      <c r="D375" t="s">
        <v>52</v>
      </c>
      <c r="E375" t="s">
        <v>53</v>
      </c>
      <c r="F375" t="s">
        <v>31</v>
      </c>
      <c r="G375" t="s">
        <v>38</v>
      </c>
      <c r="H375" t="s">
        <v>39</v>
      </c>
      <c r="I375">
        <v>8</v>
      </c>
      <c r="J375">
        <v>13680</v>
      </c>
      <c r="K375">
        <v>2136.89</v>
      </c>
      <c r="L375">
        <v>10</v>
      </c>
      <c r="M375" t="s">
        <v>20</v>
      </c>
      <c r="N375" t="str">
        <f>TEXT(Table1[[#This Row],[Order Date]],"MMMM")</f>
        <v>February</v>
      </c>
      <c r="O375">
        <f>YEAR(Table1[[#This Row],[Order Date]])</f>
        <v>2025</v>
      </c>
      <c r="P375" t="str">
        <f>"Q"&amp;ROUNDUP(MONTH(Table1[[#This Row],[Order Date]])/3,0)</f>
        <v>Q1</v>
      </c>
      <c r="Q375" s="3">
        <f>Table1[[#This Row],[Profit]]/Table1[[#This Row],[Sales]]</f>
        <v>0.15620540935672514</v>
      </c>
      <c r="R375" t="str">
        <f>IF(Table1[[#This Row],[Sales]]&lt;1000,"LOW",IF(Table1[[#This Row],[Sales]]&lt;5000,"MEDIUM","HIGH"))</f>
        <v>HIGH</v>
      </c>
      <c r="S375" s="2">
        <f>Table1[[#This Row],[Discount]]/100</f>
        <v>0.1</v>
      </c>
    </row>
    <row r="376" spans="1:19" x14ac:dyDescent="0.3">
      <c r="A376">
        <v>10375</v>
      </c>
      <c r="B376" s="1" t="s">
        <v>352</v>
      </c>
      <c r="C376" t="s">
        <v>169</v>
      </c>
      <c r="D376" t="s">
        <v>56</v>
      </c>
      <c r="E376" t="s">
        <v>57</v>
      </c>
      <c r="F376" t="s">
        <v>17</v>
      </c>
      <c r="G376" t="s">
        <v>18</v>
      </c>
      <c r="H376" t="s">
        <v>19</v>
      </c>
      <c r="I376">
        <v>5</v>
      </c>
      <c r="J376">
        <v>20567.5</v>
      </c>
      <c r="K376">
        <v>5540.42</v>
      </c>
      <c r="L376">
        <v>5</v>
      </c>
      <c r="M376" t="s">
        <v>20</v>
      </c>
      <c r="N376" t="str">
        <f>TEXT(Table1[[#This Row],[Order Date]],"MMMM")</f>
        <v>April</v>
      </c>
      <c r="O376">
        <f>YEAR(Table1[[#This Row],[Order Date]])</f>
        <v>2025</v>
      </c>
      <c r="P376" t="str">
        <f>"Q"&amp;ROUNDUP(MONTH(Table1[[#This Row],[Order Date]])/3,0)</f>
        <v>Q2</v>
      </c>
      <c r="Q376" s="3">
        <f>Table1[[#This Row],[Profit]]/Table1[[#This Row],[Sales]]</f>
        <v>0.26937741582593899</v>
      </c>
      <c r="R376" t="str">
        <f>IF(Table1[[#This Row],[Sales]]&lt;1000,"LOW",IF(Table1[[#This Row],[Sales]]&lt;5000,"MEDIUM","HIGH"))</f>
        <v>HIGH</v>
      </c>
      <c r="S376" s="2">
        <f>Table1[[#This Row],[Discount]]/100</f>
        <v>0.05</v>
      </c>
    </row>
    <row r="377" spans="1:19" x14ac:dyDescent="0.3">
      <c r="A377">
        <v>10376</v>
      </c>
      <c r="B377" s="1" t="s">
        <v>237</v>
      </c>
      <c r="C377" t="s">
        <v>251</v>
      </c>
      <c r="D377" t="s">
        <v>74</v>
      </c>
      <c r="E377" t="s">
        <v>74</v>
      </c>
      <c r="F377" t="s">
        <v>25</v>
      </c>
      <c r="G377" t="s">
        <v>26</v>
      </c>
      <c r="H377" t="s">
        <v>27</v>
      </c>
      <c r="I377">
        <v>1</v>
      </c>
      <c r="J377">
        <v>757.15</v>
      </c>
      <c r="K377">
        <v>213.43</v>
      </c>
      <c r="L377">
        <v>5</v>
      </c>
      <c r="M377" t="s">
        <v>20</v>
      </c>
      <c r="N377" t="str">
        <f>TEXT(Table1[[#This Row],[Order Date]],"MMMM")</f>
        <v>November</v>
      </c>
      <c r="O377">
        <f>YEAR(Table1[[#This Row],[Order Date]])</f>
        <v>2025</v>
      </c>
      <c r="P377" t="str">
        <f>"Q"&amp;ROUNDUP(MONTH(Table1[[#This Row],[Order Date]])/3,0)</f>
        <v>Q4</v>
      </c>
      <c r="Q377" s="3">
        <f>Table1[[#This Row],[Profit]]/Table1[[#This Row],[Sales]]</f>
        <v>0.28188601994320811</v>
      </c>
      <c r="R377" t="str">
        <f>IF(Table1[[#This Row],[Sales]]&lt;1000,"LOW",IF(Table1[[#This Row],[Sales]]&lt;5000,"MEDIUM","HIGH"))</f>
        <v>LOW</v>
      </c>
      <c r="S377" s="2">
        <f>Table1[[#This Row],[Discount]]/100</f>
        <v>0.05</v>
      </c>
    </row>
    <row r="378" spans="1:19" x14ac:dyDescent="0.3">
      <c r="A378">
        <v>10377</v>
      </c>
      <c r="B378" s="1" t="s">
        <v>362</v>
      </c>
      <c r="C378" t="s">
        <v>137</v>
      </c>
      <c r="D378" t="s">
        <v>56</v>
      </c>
      <c r="E378" t="s">
        <v>57</v>
      </c>
      <c r="F378" t="s">
        <v>31</v>
      </c>
      <c r="G378" t="s">
        <v>124</v>
      </c>
      <c r="H378" t="s">
        <v>125</v>
      </c>
      <c r="I378">
        <v>7</v>
      </c>
      <c r="J378">
        <v>28992.6</v>
      </c>
      <c r="K378">
        <v>5260.29</v>
      </c>
      <c r="L378">
        <v>10</v>
      </c>
      <c r="M378" t="s">
        <v>20</v>
      </c>
      <c r="N378" t="str">
        <f>TEXT(Table1[[#This Row],[Order Date]],"MMMM")</f>
        <v>October</v>
      </c>
      <c r="O378">
        <f>YEAR(Table1[[#This Row],[Order Date]])</f>
        <v>2025</v>
      </c>
      <c r="P378" t="str">
        <f>"Q"&amp;ROUNDUP(MONTH(Table1[[#This Row],[Order Date]])/3,0)</f>
        <v>Q4</v>
      </c>
      <c r="Q378" s="3">
        <f>Table1[[#This Row],[Profit]]/Table1[[#This Row],[Sales]]</f>
        <v>0.18143560770679415</v>
      </c>
      <c r="R378" t="str">
        <f>IF(Table1[[#This Row],[Sales]]&lt;1000,"LOW",IF(Table1[[#This Row],[Sales]]&lt;5000,"MEDIUM","HIGH"))</f>
        <v>HIGH</v>
      </c>
      <c r="S378" s="2">
        <f>Table1[[#This Row],[Discount]]/100</f>
        <v>0.1</v>
      </c>
    </row>
    <row r="379" spans="1:19" x14ac:dyDescent="0.3">
      <c r="A379">
        <v>10378</v>
      </c>
      <c r="B379" s="1" t="s">
        <v>454</v>
      </c>
      <c r="C379" t="s">
        <v>433</v>
      </c>
      <c r="D379" t="s">
        <v>36</v>
      </c>
      <c r="E379" t="s">
        <v>37</v>
      </c>
      <c r="F379" t="s">
        <v>17</v>
      </c>
      <c r="G379" t="s">
        <v>18</v>
      </c>
      <c r="H379" t="s">
        <v>19</v>
      </c>
      <c r="I379">
        <v>5</v>
      </c>
      <c r="J379">
        <v>16401.75</v>
      </c>
      <c r="K379">
        <v>3557.19</v>
      </c>
      <c r="L379">
        <v>5</v>
      </c>
      <c r="M379" t="s">
        <v>40</v>
      </c>
      <c r="N379" t="str">
        <f>TEXT(Table1[[#This Row],[Order Date]],"MMMM")</f>
        <v>July</v>
      </c>
      <c r="O379">
        <f>YEAR(Table1[[#This Row],[Order Date]])</f>
        <v>2025</v>
      </c>
      <c r="P379" t="str">
        <f>"Q"&amp;ROUNDUP(MONTH(Table1[[#This Row],[Order Date]])/3,0)</f>
        <v>Q3</v>
      </c>
      <c r="Q379" s="3">
        <f>Table1[[#This Row],[Profit]]/Table1[[#This Row],[Sales]]</f>
        <v>0.21687868672550187</v>
      </c>
      <c r="R379" t="str">
        <f>IF(Table1[[#This Row],[Sales]]&lt;1000,"LOW",IF(Table1[[#This Row],[Sales]]&lt;5000,"MEDIUM","HIGH"))</f>
        <v>HIGH</v>
      </c>
      <c r="S379" s="2">
        <f>Table1[[#This Row],[Discount]]/100</f>
        <v>0.05</v>
      </c>
    </row>
    <row r="380" spans="1:19" x14ac:dyDescent="0.3">
      <c r="A380">
        <v>10379</v>
      </c>
      <c r="B380" s="1" t="s">
        <v>455</v>
      </c>
      <c r="C380" t="s">
        <v>456</v>
      </c>
      <c r="D380" t="s">
        <v>23</v>
      </c>
      <c r="E380" t="s">
        <v>24</v>
      </c>
      <c r="F380" t="s">
        <v>31</v>
      </c>
      <c r="G380" t="s">
        <v>32</v>
      </c>
      <c r="H380" t="s">
        <v>33</v>
      </c>
      <c r="I380">
        <v>7</v>
      </c>
      <c r="J380">
        <v>6716.5</v>
      </c>
      <c r="K380">
        <v>722.64</v>
      </c>
      <c r="L380">
        <v>5</v>
      </c>
      <c r="M380" t="s">
        <v>40</v>
      </c>
      <c r="N380" t="str">
        <f>TEXT(Table1[[#This Row],[Order Date]],"MMMM")</f>
        <v>March</v>
      </c>
      <c r="O380">
        <f>YEAR(Table1[[#This Row],[Order Date]])</f>
        <v>2025</v>
      </c>
      <c r="P380" t="str">
        <f>"Q"&amp;ROUNDUP(MONTH(Table1[[#This Row],[Order Date]])/3,0)</f>
        <v>Q1</v>
      </c>
      <c r="Q380" s="3">
        <f>Table1[[#This Row],[Profit]]/Table1[[#This Row],[Sales]]</f>
        <v>0.10759175165636864</v>
      </c>
      <c r="R380" t="str">
        <f>IF(Table1[[#This Row],[Sales]]&lt;1000,"LOW",IF(Table1[[#This Row],[Sales]]&lt;5000,"MEDIUM","HIGH"))</f>
        <v>HIGH</v>
      </c>
      <c r="S380" s="2">
        <f>Table1[[#This Row],[Discount]]/100</f>
        <v>0.05</v>
      </c>
    </row>
    <row r="381" spans="1:19" x14ac:dyDescent="0.3">
      <c r="A381">
        <v>10380</v>
      </c>
      <c r="B381" s="1" t="s">
        <v>245</v>
      </c>
      <c r="C381" t="s">
        <v>121</v>
      </c>
      <c r="D381" t="s">
        <v>74</v>
      </c>
      <c r="E381" t="s">
        <v>74</v>
      </c>
      <c r="F381" t="s">
        <v>17</v>
      </c>
      <c r="G381" t="s">
        <v>75</v>
      </c>
      <c r="H381" t="s">
        <v>116</v>
      </c>
      <c r="I381">
        <v>7</v>
      </c>
      <c r="J381">
        <v>15348.2</v>
      </c>
      <c r="K381">
        <v>3669.62</v>
      </c>
      <c r="L381">
        <v>5</v>
      </c>
      <c r="M381" t="s">
        <v>40</v>
      </c>
      <c r="N381" t="str">
        <f>TEXT(Table1[[#This Row],[Order Date]],"MMMM")</f>
        <v>March</v>
      </c>
      <c r="O381">
        <f>YEAR(Table1[[#This Row],[Order Date]])</f>
        <v>2025</v>
      </c>
      <c r="P381" t="str">
        <f>"Q"&amp;ROUNDUP(MONTH(Table1[[#This Row],[Order Date]])/3,0)</f>
        <v>Q1</v>
      </c>
      <c r="Q381" s="3">
        <f>Table1[[#This Row],[Profit]]/Table1[[#This Row],[Sales]]</f>
        <v>0.23909122893889836</v>
      </c>
      <c r="R381" t="str">
        <f>IF(Table1[[#This Row],[Sales]]&lt;1000,"LOW",IF(Table1[[#This Row],[Sales]]&lt;5000,"MEDIUM","HIGH"))</f>
        <v>HIGH</v>
      </c>
      <c r="S381" s="2">
        <f>Table1[[#This Row],[Discount]]/100</f>
        <v>0.05</v>
      </c>
    </row>
    <row r="382" spans="1:19" x14ac:dyDescent="0.3">
      <c r="A382">
        <v>10381</v>
      </c>
      <c r="B382" s="1" t="s">
        <v>266</v>
      </c>
      <c r="C382" t="s">
        <v>269</v>
      </c>
      <c r="D382" t="s">
        <v>15</v>
      </c>
      <c r="E382" t="s">
        <v>16</v>
      </c>
      <c r="F382" t="s">
        <v>31</v>
      </c>
      <c r="G382" t="s">
        <v>38</v>
      </c>
      <c r="H382" t="s">
        <v>39</v>
      </c>
      <c r="I382">
        <v>2</v>
      </c>
      <c r="J382">
        <v>5674.6</v>
      </c>
      <c r="K382">
        <v>857.38</v>
      </c>
      <c r="L382">
        <v>15</v>
      </c>
      <c r="M382" t="s">
        <v>45</v>
      </c>
      <c r="N382" t="str">
        <f>TEXT(Table1[[#This Row],[Order Date]],"MMMM")</f>
        <v>July</v>
      </c>
      <c r="O382">
        <f>YEAR(Table1[[#This Row],[Order Date]])</f>
        <v>2025</v>
      </c>
      <c r="P382" t="str">
        <f>"Q"&amp;ROUNDUP(MONTH(Table1[[#This Row],[Order Date]])/3,0)</f>
        <v>Q3</v>
      </c>
      <c r="Q382" s="3">
        <f>Table1[[#This Row],[Profit]]/Table1[[#This Row],[Sales]]</f>
        <v>0.15109082578507735</v>
      </c>
      <c r="R382" t="str">
        <f>IF(Table1[[#This Row],[Sales]]&lt;1000,"LOW",IF(Table1[[#This Row],[Sales]]&lt;5000,"MEDIUM","HIGH"))</f>
        <v>HIGH</v>
      </c>
      <c r="S382" s="2">
        <f>Table1[[#This Row],[Discount]]/100</f>
        <v>0.15</v>
      </c>
    </row>
    <row r="383" spans="1:19" x14ac:dyDescent="0.3">
      <c r="A383">
        <v>10382</v>
      </c>
      <c r="B383" s="1" t="s">
        <v>198</v>
      </c>
      <c r="C383" t="s">
        <v>51</v>
      </c>
      <c r="D383" t="s">
        <v>36</v>
      </c>
      <c r="E383" t="s">
        <v>37</v>
      </c>
      <c r="F383" t="s">
        <v>31</v>
      </c>
      <c r="G383" t="s">
        <v>89</v>
      </c>
      <c r="H383" t="s">
        <v>90</v>
      </c>
      <c r="I383">
        <v>8</v>
      </c>
      <c r="J383">
        <v>12790.8</v>
      </c>
      <c r="K383">
        <v>1544.45</v>
      </c>
      <c r="L383">
        <v>15</v>
      </c>
      <c r="M383" t="s">
        <v>45</v>
      </c>
      <c r="N383" t="str">
        <f>TEXT(Table1[[#This Row],[Order Date]],"MMMM")</f>
        <v>May</v>
      </c>
      <c r="O383">
        <f>YEAR(Table1[[#This Row],[Order Date]])</f>
        <v>2025</v>
      </c>
      <c r="P383" t="str">
        <f>"Q"&amp;ROUNDUP(MONTH(Table1[[#This Row],[Order Date]])/3,0)</f>
        <v>Q2</v>
      </c>
      <c r="Q383" s="3">
        <f>Table1[[#This Row],[Profit]]/Table1[[#This Row],[Sales]]</f>
        <v>0.12074694311536417</v>
      </c>
      <c r="R383" t="str">
        <f>IF(Table1[[#This Row],[Sales]]&lt;1000,"LOW",IF(Table1[[#This Row],[Sales]]&lt;5000,"MEDIUM","HIGH"))</f>
        <v>HIGH</v>
      </c>
      <c r="S383" s="2">
        <f>Table1[[#This Row],[Discount]]/100</f>
        <v>0.15</v>
      </c>
    </row>
    <row r="384" spans="1:19" x14ac:dyDescent="0.3">
      <c r="A384">
        <v>10383</v>
      </c>
      <c r="B384" s="1" t="s">
        <v>348</v>
      </c>
      <c r="C384" t="s">
        <v>68</v>
      </c>
      <c r="D384" t="s">
        <v>23</v>
      </c>
      <c r="E384" t="s">
        <v>24</v>
      </c>
      <c r="F384" t="s">
        <v>31</v>
      </c>
      <c r="G384" t="s">
        <v>32</v>
      </c>
      <c r="H384" t="s">
        <v>33</v>
      </c>
      <c r="I384">
        <v>7</v>
      </c>
      <c r="J384">
        <v>24864.35</v>
      </c>
      <c r="K384">
        <v>6528.92</v>
      </c>
      <c r="L384">
        <v>5</v>
      </c>
      <c r="M384" t="s">
        <v>20</v>
      </c>
      <c r="N384" t="str">
        <f>TEXT(Table1[[#This Row],[Order Date]],"MMMM")</f>
        <v>December</v>
      </c>
      <c r="O384">
        <f>YEAR(Table1[[#This Row],[Order Date]])</f>
        <v>2025</v>
      </c>
      <c r="P384" t="str">
        <f>"Q"&amp;ROUNDUP(MONTH(Table1[[#This Row],[Order Date]])/3,0)</f>
        <v>Q4</v>
      </c>
      <c r="Q384" s="3">
        <f>Table1[[#This Row],[Profit]]/Table1[[#This Row],[Sales]]</f>
        <v>0.26258156758572015</v>
      </c>
      <c r="R384" t="str">
        <f>IF(Table1[[#This Row],[Sales]]&lt;1000,"LOW",IF(Table1[[#This Row],[Sales]]&lt;5000,"MEDIUM","HIGH"))</f>
        <v>HIGH</v>
      </c>
      <c r="S384" s="2">
        <f>Table1[[#This Row],[Discount]]/100</f>
        <v>0.05</v>
      </c>
    </row>
    <row r="385" spans="1:19" x14ac:dyDescent="0.3">
      <c r="A385">
        <v>10384</v>
      </c>
      <c r="B385" s="1" t="s">
        <v>138</v>
      </c>
      <c r="C385" t="s">
        <v>394</v>
      </c>
      <c r="D385" t="s">
        <v>52</v>
      </c>
      <c r="E385" t="s">
        <v>53</v>
      </c>
      <c r="F385" t="s">
        <v>17</v>
      </c>
      <c r="G385" t="s">
        <v>75</v>
      </c>
      <c r="H385" t="s">
        <v>76</v>
      </c>
      <c r="I385">
        <v>4</v>
      </c>
      <c r="J385">
        <v>14944</v>
      </c>
      <c r="K385">
        <v>3172.27</v>
      </c>
      <c r="L385">
        <v>20</v>
      </c>
      <c r="M385" t="s">
        <v>40</v>
      </c>
      <c r="N385" t="str">
        <f>TEXT(Table1[[#This Row],[Order Date]],"MMMM")</f>
        <v>January</v>
      </c>
      <c r="O385">
        <f>YEAR(Table1[[#This Row],[Order Date]])</f>
        <v>2025</v>
      </c>
      <c r="P385" t="str">
        <f>"Q"&amp;ROUNDUP(MONTH(Table1[[#This Row],[Order Date]])/3,0)</f>
        <v>Q1</v>
      </c>
      <c r="Q385" s="3">
        <f>Table1[[#This Row],[Profit]]/Table1[[#This Row],[Sales]]</f>
        <v>0.21227716809421843</v>
      </c>
      <c r="R385" t="str">
        <f>IF(Table1[[#This Row],[Sales]]&lt;1000,"LOW",IF(Table1[[#This Row],[Sales]]&lt;5000,"MEDIUM","HIGH"))</f>
        <v>HIGH</v>
      </c>
      <c r="S385" s="2">
        <f>Table1[[#This Row],[Discount]]/100</f>
        <v>0.2</v>
      </c>
    </row>
    <row r="386" spans="1:19" x14ac:dyDescent="0.3">
      <c r="A386">
        <v>10385</v>
      </c>
      <c r="B386" s="1" t="s">
        <v>151</v>
      </c>
      <c r="C386" t="s">
        <v>311</v>
      </c>
      <c r="D386" t="s">
        <v>66</v>
      </c>
      <c r="E386" t="s">
        <v>16</v>
      </c>
      <c r="F386" t="s">
        <v>17</v>
      </c>
      <c r="G386" t="s">
        <v>75</v>
      </c>
      <c r="H386" t="s">
        <v>76</v>
      </c>
      <c r="I386">
        <v>4</v>
      </c>
      <c r="J386">
        <v>9025</v>
      </c>
      <c r="K386">
        <v>1061.3699999999999</v>
      </c>
      <c r="L386">
        <v>5</v>
      </c>
      <c r="M386" t="s">
        <v>28</v>
      </c>
      <c r="N386" t="str">
        <f>TEXT(Table1[[#This Row],[Order Date]],"MMMM")</f>
        <v>August</v>
      </c>
      <c r="O386">
        <f>YEAR(Table1[[#This Row],[Order Date]])</f>
        <v>2025</v>
      </c>
      <c r="P386" t="str">
        <f>"Q"&amp;ROUNDUP(MONTH(Table1[[#This Row],[Order Date]])/3,0)</f>
        <v>Q3</v>
      </c>
      <c r="Q386" s="3">
        <f>Table1[[#This Row],[Profit]]/Table1[[#This Row],[Sales]]</f>
        <v>0.11760332409972298</v>
      </c>
      <c r="R386" t="str">
        <f>IF(Table1[[#This Row],[Sales]]&lt;1000,"LOW",IF(Table1[[#This Row],[Sales]]&lt;5000,"MEDIUM","HIGH"))</f>
        <v>HIGH</v>
      </c>
      <c r="S386" s="2">
        <f>Table1[[#This Row],[Discount]]/100</f>
        <v>0.05</v>
      </c>
    </row>
    <row r="387" spans="1:19" x14ac:dyDescent="0.3">
      <c r="A387">
        <v>10386</v>
      </c>
      <c r="B387" s="1" t="s">
        <v>457</v>
      </c>
      <c r="C387" t="s">
        <v>203</v>
      </c>
      <c r="D387" t="s">
        <v>15</v>
      </c>
      <c r="E387" t="s">
        <v>16</v>
      </c>
      <c r="F387" t="s">
        <v>31</v>
      </c>
      <c r="G387" t="s">
        <v>32</v>
      </c>
      <c r="H387" t="s">
        <v>33</v>
      </c>
      <c r="I387">
        <v>3</v>
      </c>
      <c r="J387">
        <v>5270.4</v>
      </c>
      <c r="K387">
        <v>1054.17</v>
      </c>
      <c r="L387">
        <v>20</v>
      </c>
      <c r="M387" t="s">
        <v>28</v>
      </c>
      <c r="N387" t="str">
        <f>TEXT(Table1[[#This Row],[Order Date]],"MMMM")</f>
        <v>January</v>
      </c>
      <c r="O387">
        <f>YEAR(Table1[[#This Row],[Order Date]])</f>
        <v>2025</v>
      </c>
      <c r="P387" t="str">
        <f>"Q"&amp;ROUNDUP(MONTH(Table1[[#This Row],[Order Date]])/3,0)</f>
        <v>Q1</v>
      </c>
      <c r="Q387" s="3">
        <f>Table1[[#This Row],[Profit]]/Table1[[#This Row],[Sales]]</f>
        <v>0.20001707650273226</v>
      </c>
      <c r="R387" t="str">
        <f>IF(Table1[[#This Row],[Sales]]&lt;1000,"LOW",IF(Table1[[#This Row],[Sales]]&lt;5000,"MEDIUM","HIGH"))</f>
        <v>HIGH</v>
      </c>
      <c r="S387" s="2">
        <f>Table1[[#This Row],[Discount]]/100</f>
        <v>0.2</v>
      </c>
    </row>
    <row r="388" spans="1:19" x14ac:dyDescent="0.3">
      <c r="A388">
        <v>10387</v>
      </c>
      <c r="B388" s="1" t="s">
        <v>402</v>
      </c>
      <c r="C388" t="s">
        <v>55</v>
      </c>
      <c r="D388" t="s">
        <v>23</v>
      </c>
      <c r="E388" t="s">
        <v>24</v>
      </c>
      <c r="F388" t="s">
        <v>17</v>
      </c>
      <c r="G388" t="s">
        <v>18</v>
      </c>
      <c r="H388" t="s">
        <v>19</v>
      </c>
      <c r="I388">
        <v>3</v>
      </c>
      <c r="J388">
        <v>2439.6</v>
      </c>
      <c r="K388">
        <v>436.37</v>
      </c>
      <c r="L388">
        <v>5</v>
      </c>
      <c r="M388" t="s">
        <v>49</v>
      </c>
      <c r="N388" t="str">
        <f>TEXT(Table1[[#This Row],[Order Date]],"MMMM")</f>
        <v>May</v>
      </c>
      <c r="O388">
        <f>YEAR(Table1[[#This Row],[Order Date]])</f>
        <v>2025</v>
      </c>
      <c r="P388" t="str">
        <f>"Q"&amp;ROUNDUP(MONTH(Table1[[#This Row],[Order Date]])/3,0)</f>
        <v>Q2</v>
      </c>
      <c r="Q388" s="3">
        <f>Table1[[#This Row],[Profit]]/Table1[[#This Row],[Sales]]</f>
        <v>0.17886948680111495</v>
      </c>
      <c r="R388" t="str">
        <f>IF(Table1[[#This Row],[Sales]]&lt;1000,"LOW",IF(Table1[[#This Row],[Sales]]&lt;5000,"MEDIUM","HIGH"))</f>
        <v>MEDIUM</v>
      </c>
      <c r="S388" s="2">
        <f>Table1[[#This Row],[Discount]]/100</f>
        <v>0.05</v>
      </c>
    </row>
    <row r="389" spans="1:19" x14ac:dyDescent="0.3">
      <c r="A389">
        <v>10388</v>
      </c>
      <c r="B389" s="1" t="s">
        <v>165</v>
      </c>
      <c r="C389" t="s">
        <v>241</v>
      </c>
      <c r="D389" t="s">
        <v>52</v>
      </c>
      <c r="E389" t="s">
        <v>53</v>
      </c>
      <c r="F389" t="s">
        <v>31</v>
      </c>
      <c r="G389" t="s">
        <v>124</v>
      </c>
      <c r="H389" t="s">
        <v>125</v>
      </c>
      <c r="I389">
        <v>1</v>
      </c>
      <c r="J389">
        <v>4800</v>
      </c>
      <c r="K389">
        <v>1117.25</v>
      </c>
      <c r="L389">
        <v>0</v>
      </c>
      <c r="M389" t="s">
        <v>49</v>
      </c>
      <c r="N389" t="str">
        <f>TEXT(Table1[[#This Row],[Order Date]],"MMMM")</f>
        <v>January</v>
      </c>
      <c r="O389">
        <f>YEAR(Table1[[#This Row],[Order Date]])</f>
        <v>2025</v>
      </c>
      <c r="P389" t="str">
        <f>"Q"&amp;ROUNDUP(MONTH(Table1[[#This Row],[Order Date]])/3,0)</f>
        <v>Q1</v>
      </c>
      <c r="Q389" s="3">
        <f>Table1[[#This Row],[Profit]]/Table1[[#This Row],[Sales]]</f>
        <v>0.23276041666666666</v>
      </c>
      <c r="R389" t="str">
        <f>IF(Table1[[#This Row],[Sales]]&lt;1000,"LOW",IF(Table1[[#This Row],[Sales]]&lt;5000,"MEDIUM","HIGH"))</f>
        <v>MEDIUM</v>
      </c>
      <c r="S389" s="2">
        <f>Table1[[#This Row],[Discount]]/100</f>
        <v>0</v>
      </c>
    </row>
    <row r="390" spans="1:19" x14ac:dyDescent="0.3">
      <c r="A390">
        <v>10389</v>
      </c>
      <c r="B390" s="1" t="s">
        <v>458</v>
      </c>
      <c r="C390" t="s">
        <v>235</v>
      </c>
      <c r="D390" t="s">
        <v>36</v>
      </c>
      <c r="E390" t="s">
        <v>37</v>
      </c>
      <c r="F390" t="s">
        <v>31</v>
      </c>
      <c r="G390" t="s">
        <v>124</v>
      </c>
      <c r="H390" t="s">
        <v>125</v>
      </c>
      <c r="I390">
        <v>6</v>
      </c>
      <c r="J390">
        <v>16267.2</v>
      </c>
      <c r="K390">
        <v>2555.61</v>
      </c>
      <c r="L390">
        <v>20</v>
      </c>
      <c r="M390" t="s">
        <v>20</v>
      </c>
      <c r="N390" t="str">
        <f>TEXT(Table1[[#This Row],[Order Date]],"MMMM")</f>
        <v>September</v>
      </c>
      <c r="O390">
        <f>YEAR(Table1[[#This Row],[Order Date]])</f>
        <v>2025</v>
      </c>
      <c r="P390" t="str">
        <f>"Q"&amp;ROUNDUP(MONTH(Table1[[#This Row],[Order Date]])/3,0)</f>
        <v>Q3</v>
      </c>
      <c r="Q390" s="3">
        <f>Table1[[#This Row],[Profit]]/Table1[[#This Row],[Sales]]</f>
        <v>0.15710202124520509</v>
      </c>
      <c r="R390" t="str">
        <f>IF(Table1[[#This Row],[Sales]]&lt;1000,"LOW",IF(Table1[[#This Row],[Sales]]&lt;5000,"MEDIUM","HIGH"))</f>
        <v>HIGH</v>
      </c>
      <c r="S390" s="2">
        <f>Table1[[#This Row],[Discount]]/100</f>
        <v>0.2</v>
      </c>
    </row>
    <row r="391" spans="1:19" x14ac:dyDescent="0.3">
      <c r="A391">
        <v>10390</v>
      </c>
      <c r="B391" s="1" t="s">
        <v>459</v>
      </c>
      <c r="C391" t="s">
        <v>241</v>
      </c>
      <c r="D391" t="s">
        <v>56</v>
      </c>
      <c r="E391" t="s">
        <v>57</v>
      </c>
      <c r="F391" t="s">
        <v>25</v>
      </c>
      <c r="G391" t="s">
        <v>26</v>
      </c>
      <c r="H391" t="s">
        <v>71</v>
      </c>
      <c r="I391">
        <v>7</v>
      </c>
      <c r="J391">
        <v>15909.6</v>
      </c>
      <c r="K391">
        <v>1513.24</v>
      </c>
      <c r="L391">
        <v>20</v>
      </c>
      <c r="M391" t="s">
        <v>49</v>
      </c>
      <c r="N391" t="str">
        <f>TEXT(Table1[[#This Row],[Order Date]],"MMMM")</f>
        <v>February</v>
      </c>
      <c r="O391">
        <f>YEAR(Table1[[#This Row],[Order Date]])</f>
        <v>2025</v>
      </c>
      <c r="P391" t="str">
        <f>"Q"&amp;ROUNDUP(MONTH(Table1[[#This Row],[Order Date]])/3,0)</f>
        <v>Q1</v>
      </c>
      <c r="Q391" s="3">
        <f>Table1[[#This Row],[Profit]]/Table1[[#This Row],[Sales]]</f>
        <v>9.5114899180369084E-2</v>
      </c>
      <c r="R391" t="str">
        <f>IF(Table1[[#This Row],[Sales]]&lt;1000,"LOW",IF(Table1[[#This Row],[Sales]]&lt;5000,"MEDIUM","HIGH"))</f>
        <v>HIGH</v>
      </c>
      <c r="S391" s="2">
        <f>Table1[[#This Row],[Discount]]/100</f>
        <v>0.2</v>
      </c>
    </row>
    <row r="392" spans="1:19" x14ac:dyDescent="0.3">
      <c r="A392">
        <v>10391</v>
      </c>
      <c r="B392" s="1" t="s">
        <v>186</v>
      </c>
      <c r="C392" t="s">
        <v>174</v>
      </c>
      <c r="D392" t="s">
        <v>56</v>
      </c>
      <c r="E392" t="s">
        <v>57</v>
      </c>
      <c r="F392" t="s">
        <v>31</v>
      </c>
      <c r="G392" t="s">
        <v>38</v>
      </c>
      <c r="H392" t="s">
        <v>39</v>
      </c>
      <c r="I392">
        <v>5</v>
      </c>
      <c r="J392">
        <v>3316</v>
      </c>
      <c r="K392">
        <v>405</v>
      </c>
      <c r="L392">
        <v>20</v>
      </c>
      <c r="M392" t="s">
        <v>28</v>
      </c>
      <c r="N392" t="str">
        <f>TEXT(Table1[[#This Row],[Order Date]],"MMMM")</f>
        <v>October</v>
      </c>
      <c r="O392">
        <f>YEAR(Table1[[#This Row],[Order Date]])</f>
        <v>2025</v>
      </c>
      <c r="P392" t="str">
        <f>"Q"&amp;ROUNDUP(MONTH(Table1[[#This Row],[Order Date]])/3,0)</f>
        <v>Q4</v>
      </c>
      <c r="Q392" s="3">
        <f>Table1[[#This Row],[Profit]]/Table1[[#This Row],[Sales]]</f>
        <v>0.1221351025331725</v>
      </c>
      <c r="R392" t="str">
        <f>IF(Table1[[#This Row],[Sales]]&lt;1000,"LOW",IF(Table1[[#This Row],[Sales]]&lt;5000,"MEDIUM","HIGH"))</f>
        <v>MEDIUM</v>
      </c>
      <c r="S392" s="2">
        <f>Table1[[#This Row],[Discount]]/100</f>
        <v>0.2</v>
      </c>
    </row>
    <row r="393" spans="1:19" x14ac:dyDescent="0.3">
      <c r="A393">
        <v>10392</v>
      </c>
      <c r="B393" s="1" t="s">
        <v>460</v>
      </c>
      <c r="C393" t="s">
        <v>445</v>
      </c>
      <c r="D393" t="s">
        <v>56</v>
      </c>
      <c r="E393" t="s">
        <v>57</v>
      </c>
      <c r="F393" t="s">
        <v>25</v>
      </c>
      <c r="G393" t="s">
        <v>26</v>
      </c>
      <c r="H393" t="s">
        <v>27</v>
      </c>
      <c r="I393">
        <v>2</v>
      </c>
      <c r="J393">
        <v>7964</v>
      </c>
      <c r="K393">
        <v>1220.81</v>
      </c>
      <c r="L393">
        <v>0</v>
      </c>
      <c r="M393" t="s">
        <v>45</v>
      </c>
      <c r="N393" t="str">
        <f>TEXT(Table1[[#This Row],[Order Date]],"MMMM")</f>
        <v>October</v>
      </c>
      <c r="O393">
        <f>YEAR(Table1[[#This Row],[Order Date]])</f>
        <v>2025</v>
      </c>
      <c r="P393" t="str">
        <f>"Q"&amp;ROUNDUP(MONTH(Table1[[#This Row],[Order Date]])/3,0)</f>
        <v>Q4</v>
      </c>
      <c r="Q393" s="3">
        <f>Table1[[#This Row],[Profit]]/Table1[[#This Row],[Sales]]</f>
        <v>0.15329105976896032</v>
      </c>
      <c r="R393" t="str">
        <f>IF(Table1[[#This Row],[Sales]]&lt;1000,"LOW",IF(Table1[[#This Row],[Sales]]&lt;5000,"MEDIUM","HIGH"))</f>
        <v>HIGH</v>
      </c>
      <c r="S393" s="2">
        <f>Table1[[#This Row],[Discount]]/100</f>
        <v>0</v>
      </c>
    </row>
    <row r="394" spans="1:19" x14ac:dyDescent="0.3">
      <c r="A394">
        <v>10393</v>
      </c>
      <c r="B394" s="1" t="s">
        <v>284</v>
      </c>
      <c r="C394" t="s">
        <v>279</v>
      </c>
      <c r="D394" t="s">
        <v>52</v>
      </c>
      <c r="E394" t="s">
        <v>53</v>
      </c>
      <c r="F394" t="s">
        <v>25</v>
      </c>
      <c r="G394" t="s">
        <v>95</v>
      </c>
      <c r="H394" t="s">
        <v>96</v>
      </c>
      <c r="I394">
        <v>4</v>
      </c>
      <c r="J394">
        <v>17644</v>
      </c>
      <c r="K394">
        <v>3327.15</v>
      </c>
      <c r="L394">
        <v>0</v>
      </c>
      <c r="M394" t="s">
        <v>49</v>
      </c>
      <c r="N394" t="str">
        <f>TEXT(Table1[[#This Row],[Order Date]],"MMMM")</f>
        <v>June</v>
      </c>
      <c r="O394">
        <f>YEAR(Table1[[#This Row],[Order Date]])</f>
        <v>2025</v>
      </c>
      <c r="P394" t="str">
        <f>"Q"&amp;ROUNDUP(MONTH(Table1[[#This Row],[Order Date]])/3,0)</f>
        <v>Q2</v>
      </c>
      <c r="Q394" s="3">
        <f>Table1[[#This Row],[Profit]]/Table1[[#This Row],[Sales]]</f>
        <v>0.18857118567218317</v>
      </c>
      <c r="R394" t="str">
        <f>IF(Table1[[#This Row],[Sales]]&lt;1000,"LOW",IF(Table1[[#This Row],[Sales]]&lt;5000,"MEDIUM","HIGH"))</f>
        <v>HIGH</v>
      </c>
      <c r="S394" s="2">
        <f>Table1[[#This Row],[Discount]]/100</f>
        <v>0</v>
      </c>
    </row>
    <row r="395" spans="1:19" x14ac:dyDescent="0.3">
      <c r="A395">
        <v>10394</v>
      </c>
      <c r="B395" s="1" t="s">
        <v>461</v>
      </c>
      <c r="C395" t="s">
        <v>428</v>
      </c>
      <c r="D395" t="s">
        <v>36</v>
      </c>
      <c r="E395" t="s">
        <v>37</v>
      </c>
      <c r="F395" t="s">
        <v>31</v>
      </c>
      <c r="G395" t="s">
        <v>89</v>
      </c>
      <c r="H395" t="s">
        <v>90</v>
      </c>
      <c r="I395">
        <v>4</v>
      </c>
      <c r="J395">
        <v>2642.4</v>
      </c>
      <c r="K395">
        <v>311.89999999999998</v>
      </c>
      <c r="L395">
        <v>10</v>
      </c>
      <c r="M395" t="s">
        <v>28</v>
      </c>
      <c r="N395" t="str">
        <f>TEXT(Table1[[#This Row],[Order Date]],"MMMM")</f>
        <v>January</v>
      </c>
      <c r="O395">
        <f>YEAR(Table1[[#This Row],[Order Date]])</f>
        <v>2025</v>
      </c>
      <c r="P395" t="str">
        <f>"Q"&amp;ROUNDUP(MONTH(Table1[[#This Row],[Order Date]])/3,0)</f>
        <v>Q1</v>
      </c>
      <c r="Q395" s="3">
        <f>Table1[[#This Row],[Profit]]/Table1[[#This Row],[Sales]]</f>
        <v>0.11803663336360883</v>
      </c>
      <c r="R395" t="str">
        <f>IF(Table1[[#This Row],[Sales]]&lt;1000,"LOW",IF(Table1[[#This Row],[Sales]]&lt;5000,"MEDIUM","HIGH"))</f>
        <v>MEDIUM</v>
      </c>
      <c r="S395" s="2">
        <f>Table1[[#This Row],[Discount]]/100</f>
        <v>0.1</v>
      </c>
    </row>
    <row r="396" spans="1:19" x14ac:dyDescent="0.3">
      <c r="A396">
        <v>10395</v>
      </c>
      <c r="B396" s="1" t="s">
        <v>372</v>
      </c>
      <c r="C396" t="s">
        <v>301</v>
      </c>
      <c r="D396" t="s">
        <v>66</v>
      </c>
      <c r="E396" t="s">
        <v>16</v>
      </c>
      <c r="F396" t="s">
        <v>25</v>
      </c>
      <c r="G396" t="s">
        <v>95</v>
      </c>
      <c r="H396" t="s">
        <v>96</v>
      </c>
      <c r="I396">
        <v>4</v>
      </c>
      <c r="J396">
        <v>6838.4</v>
      </c>
      <c r="K396">
        <v>799.93</v>
      </c>
      <c r="L396">
        <v>20</v>
      </c>
      <c r="M396" t="s">
        <v>45</v>
      </c>
      <c r="N396" t="str">
        <f>TEXT(Table1[[#This Row],[Order Date]],"MMMM")</f>
        <v>January</v>
      </c>
      <c r="O396">
        <f>YEAR(Table1[[#This Row],[Order Date]])</f>
        <v>2025</v>
      </c>
      <c r="P396" t="str">
        <f>"Q"&amp;ROUNDUP(MONTH(Table1[[#This Row],[Order Date]])/3,0)</f>
        <v>Q1</v>
      </c>
      <c r="Q396" s="3">
        <f>Table1[[#This Row],[Profit]]/Table1[[#This Row],[Sales]]</f>
        <v>0.11697619326158165</v>
      </c>
      <c r="R396" t="str">
        <f>IF(Table1[[#This Row],[Sales]]&lt;1000,"LOW",IF(Table1[[#This Row],[Sales]]&lt;5000,"MEDIUM","HIGH"))</f>
        <v>HIGH</v>
      </c>
      <c r="S396" s="2">
        <f>Table1[[#This Row],[Discount]]/100</f>
        <v>0.2</v>
      </c>
    </row>
    <row r="397" spans="1:19" x14ac:dyDescent="0.3">
      <c r="A397">
        <v>10396</v>
      </c>
      <c r="B397" s="1" t="s">
        <v>335</v>
      </c>
      <c r="C397" t="s">
        <v>322</v>
      </c>
      <c r="D397" t="s">
        <v>60</v>
      </c>
      <c r="E397" t="s">
        <v>61</v>
      </c>
      <c r="F397" t="s">
        <v>31</v>
      </c>
      <c r="G397" t="s">
        <v>32</v>
      </c>
      <c r="H397" t="s">
        <v>33</v>
      </c>
      <c r="I397">
        <v>2</v>
      </c>
      <c r="J397">
        <v>9684</v>
      </c>
      <c r="K397">
        <v>1375.88</v>
      </c>
      <c r="L397">
        <v>0</v>
      </c>
      <c r="M397" t="s">
        <v>28</v>
      </c>
      <c r="N397" t="str">
        <f>TEXT(Table1[[#This Row],[Order Date]],"MMMM")</f>
        <v>June</v>
      </c>
      <c r="O397">
        <f>YEAR(Table1[[#This Row],[Order Date]])</f>
        <v>2025</v>
      </c>
      <c r="P397" t="str">
        <f>"Q"&amp;ROUNDUP(MONTH(Table1[[#This Row],[Order Date]])/3,0)</f>
        <v>Q2</v>
      </c>
      <c r="Q397" s="3">
        <f>Table1[[#This Row],[Profit]]/Table1[[#This Row],[Sales]]</f>
        <v>0.14207765386204049</v>
      </c>
      <c r="R397" t="str">
        <f>IF(Table1[[#This Row],[Sales]]&lt;1000,"LOW",IF(Table1[[#This Row],[Sales]]&lt;5000,"MEDIUM","HIGH"))</f>
        <v>HIGH</v>
      </c>
      <c r="S397" s="2">
        <f>Table1[[#This Row],[Discount]]/100</f>
        <v>0</v>
      </c>
    </row>
    <row r="398" spans="1:19" x14ac:dyDescent="0.3">
      <c r="A398">
        <v>10397</v>
      </c>
      <c r="B398" s="1" t="s">
        <v>234</v>
      </c>
      <c r="C398" t="s">
        <v>291</v>
      </c>
      <c r="D398" t="s">
        <v>60</v>
      </c>
      <c r="E398" t="s">
        <v>61</v>
      </c>
      <c r="F398" t="s">
        <v>17</v>
      </c>
      <c r="G398" t="s">
        <v>75</v>
      </c>
      <c r="H398" t="s">
        <v>76</v>
      </c>
      <c r="I398">
        <v>7</v>
      </c>
      <c r="J398">
        <v>16430.400000000001</v>
      </c>
      <c r="K398">
        <v>3516.77</v>
      </c>
      <c r="L398">
        <v>10</v>
      </c>
      <c r="M398" t="s">
        <v>20</v>
      </c>
      <c r="N398" t="str">
        <f>TEXT(Table1[[#This Row],[Order Date]],"MMMM")</f>
        <v>March</v>
      </c>
      <c r="O398">
        <f>YEAR(Table1[[#This Row],[Order Date]])</f>
        <v>2025</v>
      </c>
      <c r="P398" t="str">
        <f>"Q"&amp;ROUNDUP(MONTH(Table1[[#This Row],[Order Date]])/3,0)</f>
        <v>Q1</v>
      </c>
      <c r="Q398" s="3">
        <f>Table1[[#This Row],[Profit]]/Table1[[#This Row],[Sales]]</f>
        <v>0.21404043723828997</v>
      </c>
      <c r="R398" t="str">
        <f>IF(Table1[[#This Row],[Sales]]&lt;1000,"LOW",IF(Table1[[#This Row],[Sales]]&lt;5000,"MEDIUM","HIGH"))</f>
        <v>HIGH</v>
      </c>
      <c r="S398" s="2">
        <f>Table1[[#This Row],[Discount]]/100</f>
        <v>0.1</v>
      </c>
    </row>
    <row r="399" spans="1:19" x14ac:dyDescent="0.3">
      <c r="A399">
        <v>10398</v>
      </c>
      <c r="B399" s="1" t="s">
        <v>462</v>
      </c>
      <c r="C399" t="s">
        <v>246</v>
      </c>
      <c r="D399" t="s">
        <v>60</v>
      </c>
      <c r="E399" t="s">
        <v>61</v>
      </c>
      <c r="F399" t="s">
        <v>17</v>
      </c>
      <c r="G399" t="s">
        <v>18</v>
      </c>
      <c r="H399" t="s">
        <v>19</v>
      </c>
      <c r="I399">
        <v>2</v>
      </c>
      <c r="J399">
        <v>9009.7999999999993</v>
      </c>
      <c r="K399">
        <v>2260.87</v>
      </c>
      <c r="L399">
        <v>5</v>
      </c>
      <c r="M399" t="s">
        <v>40</v>
      </c>
      <c r="N399" t="str">
        <f>TEXT(Table1[[#This Row],[Order Date]],"MMMM")</f>
        <v>May</v>
      </c>
      <c r="O399">
        <f>YEAR(Table1[[#This Row],[Order Date]])</f>
        <v>2025</v>
      </c>
      <c r="P399" t="str">
        <f>"Q"&amp;ROUNDUP(MONTH(Table1[[#This Row],[Order Date]])/3,0)</f>
        <v>Q2</v>
      </c>
      <c r="Q399" s="3">
        <f>Table1[[#This Row],[Profit]]/Table1[[#This Row],[Sales]]</f>
        <v>0.2509345379475682</v>
      </c>
      <c r="R399" t="str">
        <f>IF(Table1[[#This Row],[Sales]]&lt;1000,"LOW",IF(Table1[[#This Row],[Sales]]&lt;5000,"MEDIUM","HIGH"))</f>
        <v>HIGH</v>
      </c>
      <c r="S399" s="2">
        <f>Table1[[#This Row],[Discount]]/100</f>
        <v>0.05</v>
      </c>
    </row>
    <row r="400" spans="1:19" x14ac:dyDescent="0.3">
      <c r="A400">
        <v>10399</v>
      </c>
      <c r="B400" s="1" t="s">
        <v>242</v>
      </c>
      <c r="C400" t="s">
        <v>279</v>
      </c>
      <c r="D400" t="s">
        <v>52</v>
      </c>
      <c r="E400" t="s">
        <v>53</v>
      </c>
      <c r="F400" t="s">
        <v>31</v>
      </c>
      <c r="G400" t="s">
        <v>124</v>
      </c>
      <c r="H400" t="s">
        <v>125</v>
      </c>
      <c r="I400">
        <v>7</v>
      </c>
      <c r="J400">
        <v>10458</v>
      </c>
      <c r="K400">
        <v>1701.25</v>
      </c>
      <c r="L400">
        <v>10</v>
      </c>
      <c r="M400" t="s">
        <v>45</v>
      </c>
      <c r="N400" t="str">
        <f>TEXT(Table1[[#This Row],[Order Date]],"MMMM")</f>
        <v>November</v>
      </c>
      <c r="O400">
        <f>YEAR(Table1[[#This Row],[Order Date]])</f>
        <v>2025</v>
      </c>
      <c r="P400" t="str">
        <f>"Q"&amp;ROUNDUP(MONTH(Table1[[#This Row],[Order Date]])/3,0)</f>
        <v>Q4</v>
      </c>
      <c r="Q400" s="3">
        <f>Table1[[#This Row],[Profit]]/Table1[[#This Row],[Sales]]</f>
        <v>0.16267450755402563</v>
      </c>
      <c r="R400" t="str">
        <f>IF(Table1[[#This Row],[Sales]]&lt;1000,"LOW",IF(Table1[[#This Row],[Sales]]&lt;5000,"MEDIUM","HIGH"))</f>
        <v>HIGH</v>
      </c>
      <c r="S400" s="2">
        <f>Table1[[#This Row],[Discount]]/100</f>
        <v>0.1</v>
      </c>
    </row>
    <row r="401" spans="1:19" x14ac:dyDescent="0.3">
      <c r="A401">
        <v>10400</v>
      </c>
      <c r="B401" s="1" t="s">
        <v>131</v>
      </c>
      <c r="C401" t="s">
        <v>73</v>
      </c>
      <c r="D401" t="s">
        <v>66</v>
      </c>
      <c r="E401" t="s">
        <v>16</v>
      </c>
      <c r="F401" t="s">
        <v>31</v>
      </c>
      <c r="G401" t="s">
        <v>89</v>
      </c>
      <c r="H401" t="s">
        <v>90</v>
      </c>
      <c r="I401">
        <v>1</v>
      </c>
      <c r="J401">
        <v>1257.5999999999999</v>
      </c>
      <c r="K401">
        <v>288.57</v>
      </c>
      <c r="L401">
        <v>20</v>
      </c>
      <c r="M401" t="s">
        <v>28</v>
      </c>
      <c r="N401" t="str">
        <f>TEXT(Table1[[#This Row],[Order Date]],"MMMM")</f>
        <v>January</v>
      </c>
      <c r="O401">
        <f>YEAR(Table1[[#This Row],[Order Date]])</f>
        <v>2025</v>
      </c>
      <c r="P401" t="str">
        <f>"Q"&amp;ROUNDUP(MONTH(Table1[[#This Row],[Order Date]])/3,0)</f>
        <v>Q1</v>
      </c>
      <c r="Q401" s="3">
        <f>Table1[[#This Row],[Profit]]/Table1[[#This Row],[Sales]]</f>
        <v>0.22946087786259542</v>
      </c>
      <c r="R401" t="str">
        <f>IF(Table1[[#This Row],[Sales]]&lt;1000,"LOW",IF(Table1[[#This Row],[Sales]]&lt;5000,"MEDIUM","HIGH"))</f>
        <v>MEDIUM</v>
      </c>
      <c r="S401" s="2">
        <f>Table1[[#This Row],[Discount]]/100</f>
        <v>0.2</v>
      </c>
    </row>
    <row r="402" spans="1:19" x14ac:dyDescent="0.3">
      <c r="A402">
        <v>10401</v>
      </c>
      <c r="B402" s="1" t="s">
        <v>463</v>
      </c>
      <c r="C402" t="s">
        <v>248</v>
      </c>
      <c r="D402" t="s">
        <v>23</v>
      </c>
      <c r="E402" t="s">
        <v>24</v>
      </c>
      <c r="F402" t="s">
        <v>25</v>
      </c>
      <c r="G402" t="s">
        <v>26</v>
      </c>
      <c r="H402" t="s">
        <v>71</v>
      </c>
      <c r="I402">
        <v>5</v>
      </c>
      <c r="J402">
        <v>18963</v>
      </c>
      <c r="K402">
        <v>2241.4899999999998</v>
      </c>
      <c r="L402">
        <v>10</v>
      </c>
      <c r="M402" t="s">
        <v>28</v>
      </c>
      <c r="N402" t="str">
        <f>TEXT(Table1[[#This Row],[Order Date]],"MMMM")</f>
        <v>February</v>
      </c>
      <c r="O402">
        <f>YEAR(Table1[[#This Row],[Order Date]])</f>
        <v>2025</v>
      </c>
      <c r="P402" t="str">
        <f>"Q"&amp;ROUNDUP(MONTH(Table1[[#This Row],[Order Date]])/3,0)</f>
        <v>Q1</v>
      </c>
      <c r="Q402" s="3">
        <f>Table1[[#This Row],[Profit]]/Table1[[#This Row],[Sales]]</f>
        <v>0.11820334335284501</v>
      </c>
      <c r="R402" t="str">
        <f>IF(Table1[[#This Row],[Sales]]&lt;1000,"LOW",IF(Table1[[#This Row],[Sales]]&lt;5000,"MEDIUM","HIGH"))</f>
        <v>HIGH</v>
      </c>
      <c r="S402" s="2">
        <f>Table1[[#This Row],[Discount]]/100</f>
        <v>0.1</v>
      </c>
    </row>
    <row r="403" spans="1:19" x14ac:dyDescent="0.3">
      <c r="A403">
        <v>10402</v>
      </c>
      <c r="B403" s="1" t="s">
        <v>441</v>
      </c>
      <c r="C403" t="s">
        <v>464</v>
      </c>
      <c r="D403" t="s">
        <v>66</v>
      </c>
      <c r="E403" t="s">
        <v>16</v>
      </c>
      <c r="F403" t="s">
        <v>17</v>
      </c>
      <c r="G403" t="s">
        <v>75</v>
      </c>
      <c r="H403" t="s">
        <v>116</v>
      </c>
      <c r="I403">
        <v>4</v>
      </c>
      <c r="J403">
        <v>14499.2</v>
      </c>
      <c r="K403">
        <v>3383.16</v>
      </c>
      <c r="L403">
        <v>20</v>
      </c>
      <c r="M403" t="s">
        <v>20</v>
      </c>
      <c r="N403" t="str">
        <f>TEXT(Table1[[#This Row],[Order Date]],"MMMM")</f>
        <v>October</v>
      </c>
      <c r="O403">
        <f>YEAR(Table1[[#This Row],[Order Date]])</f>
        <v>2025</v>
      </c>
      <c r="P403" t="str">
        <f>"Q"&amp;ROUNDUP(MONTH(Table1[[#This Row],[Order Date]])/3,0)</f>
        <v>Q4</v>
      </c>
      <c r="Q403" s="3">
        <f>Table1[[#This Row],[Profit]]/Table1[[#This Row],[Sales]]</f>
        <v>0.23333425292429924</v>
      </c>
      <c r="R403" t="str">
        <f>IF(Table1[[#This Row],[Sales]]&lt;1000,"LOW",IF(Table1[[#This Row],[Sales]]&lt;5000,"MEDIUM","HIGH"))</f>
        <v>HIGH</v>
      </c>
      <c r="S403" s="2">
        <f>Table1[[#This Row],[Discount]]/100</f>
        <v>0.2</v>
      </c>
    </row>
    <row r="404" spans="1:19" x14ac:dyDescent="0.3">
      <c r="A404">
        <v>10403</v>
      </c>
      <c r="B404" s="1" t="s">
        <v>256</v>
      </c>
      <c r="C404" t="s">
        <v>327</v>
      </c>
      <c r="D404" t="s">
        <v>66</v>
      </c>
      <c r="E404" t="s">
        <v>16</v>
      </c>
      <c r="F404" t="s">
        <v>17</v>
      </c>
      <c r="G404" t="s">
        <v>75</v>
      </c>
      <c r="H404" t="s">
        <v>116</v>
      </c>
      <c r="I404">
        <v>8</v>
      </c>
      <c r="J404">
        <v>10216.799999999999</v>
      </c>
      <c r="K404">
        <v>2711.22</v>
      </c>
      <c r="L404">
        <v>10</v>
      </c>
      <c r="M404" t="s">
        <v>28</v>
      </c>
      <c r="N404" t="str">
        <f>TEXT(Table1[[#This Row],[Order Date]],"MMMM")</f>
        <v>January</v>
      </c>
      <c r="O404">
        <f>YEAR(Table1[[#This Row],[Order Date]])</f>
        <v>2025</v>
      </c>
      <c r="P404" t="str">
        <f>"Q"&amp;ROUNDUP(MONTH(Table1[[#This Row],[Order Date]])/3,0)</f>
        <v>Q1</v>
      </c>
      <c r="Q404" s="3">
        <f>Table1[[#This Row],[Profit]]/Table1[[#This Row],[Sales]]</f>
        <v>0.26536880432229271</v>
      </c>
      <c r="R404" t="str">
        <f>IF(Table1[[#This Row],[Sales]]&lt;1000,"LOW",IF(Table1[[#This Row],[Sales]]&lt;5000,"MEDIUM","HIGH"))</f>
        <v>HIGH</v>
      </c>
      <c r="S404" s="2">
        <f>Table1[[#This Row],[Discount]]/100</f>
        <v>0.1</v>
      </c>
    </row>
    <row r="405" spans="1:19" x14ac:dyDescent="0.3">
      <c r="A405">
        <v>10404</v>
      </c>
      <c r="B405" s="1" t="s">
        <v>448</v>
      </c>
      <c r="C405" t="s">
        <v>359</v>
      </c>
      <c r="D405" t="s">
        <v>66</v>
      </c>
      <c r="E405" t="s">
        <v>16</v>
      </c>
      <c r="F405" t="s">
        <v>17</v>
      </c>
      <c r="G405" t="s">
        <v>43</v>
      </c>
      <c r="H405" t="s">
        <v>44</v>
      </c>
      <c r="I405">
        <v>6</v>
      </c>
      <c r="J405">
        <v>23400</v>
      </c>
      <c r="K405">
        <v>5066.1000000000004</v>
      </c>
      <c r="L405">
        <v>0</v>
      </c>
      <c r="M405" t="s">
        <v>45</v>
      </c>
      <c r="N405" t="str">
        <f>TEXT(Table1[[#This Row],[Order Date]],"MMMM")</f>
        <v>January</v>
      </c>
      <c r="O405">
        <f>YEAR(Table1[[#This Row],[Order Date]])</f>
        <v>2025</v>
      </c>
      <c r="P405" t="str">
        <f>"Q"&amp;ROUNDUP(MONTH(Table1[[#This Row],[Order Date]])/3,0)</f>
        <v>Q1</v>
      </c>
      <c r="Q405" s="3">
        <f>Table1[[#This Row],[Profit]]/Table1[[#This Row],[Sales]]</f>
        <v>0.21650000000000003</v>
      </c>
      <c r="R405" t="str">
        <f>IF(Table1[[#This Row],[Sales]]&lt;1000,"LOW",IF(Table1[[#This Row],[Sales]]&lt;5000,"MEDIUM","HIGH"))</f>
        <v>HIGH</v>
      </c>
      <c r="S405" s="2">
        <f>Table1[[#This Row],[Discount]]/100</f>
        <v>0</v>
      </c>
    </row>
    <row r="406" spans="1:19" x14ac:dyDescent="0.3">
      <c r="A406">
        <v>10405</v>
      </c>
      <c r="B406" s="1" t="s">
        <v>159</v>
      </c>
      <c r="C406" t="s">
        <v>146</v>
      </c>
      <c r="D406" t="s">
        <v>60</v>
      </c>
      <c r="E406" t="s">
        <v>61</v>
      </c>
      <c r="F406" t="s">
        <v>31</v>
      </c>
      <c r="G406" t="s">
        <v>32</v>
      </c>
      <c r="H406" t="s">
        <v>33</v>
      </c>
      <c r="I406">
        <v>2</v>
      </c>
      <c r="J406">
        <v>4533.8999999999996</v>
      </c>
      <c r="K406">
        <v>888.22</v>
      </c>
      <c r="L406">
        <v>15</v>
      </c>
      <c r="M406" t="s">
        <v>45</v>
      </c>
      <c r="N406" t="str">
        <f>TEXT(Table1[[#This Row],[Order Date]],"MMMM")</f>
        <v>May</v>
      </c>
      <c r="O406">
        <f>YEAR(Table1[[#This Row],[Order Date]])</f>
        <v>2025</v>
      </c>
      <c r="P406" t="str">
        <f>"Q"&amp;ROUNDUP(MONTH(Table1[[#This Row],[Order Date]])/3,0)</f>
        <v>Q2</v>
      </c>
      <c r="Q406" s="3">
        <f>Table1[[#This Row],[Profit]]/Table1[[#This Row],[Sales]]</f>
        <v>0.19590639405368449</v>
      </c>
      <c r="R406" t="str">
        <f>IF(Table1[[#This Row],[Sales]]&lt;1000,"LOW",IF(Table1[[#This Row],[Sales]]&lt;5000,"MEDIUM","HIGH"))</f>
        <v>MEDIUM</v>
      </c>
      <c r="S406" s="2">
        <f>Table1[[#This Row],[Discount]]/100</f>
        <v>0.15</v>
      </c>
    </row>
    <row r="407" spans="1:19" x14ac:dyDescent="0.3">
      <c r="A407">
        <v>10406</v>
      </c>
      <c r="B407" s="1" t="s">
        <v>465</v>
      </c>
      <c r="C407" t="s">
        <v>370</v>
      </c>
      <c r="D407" t="s">
        <v>74</v>
      </c>
      <c r="E407" t="s">
        <v>74</v>
      </c>
      <c r="F407" t="s">
        <v>17</v>
      </c>
      <c r="G407" t="s">
        <v>43</v>
      </c>
      <c r="H407" t="s">
        <v>44</v>
      </c>
      <c r="I407">
        <v>4</v>
      </c>
      <c r="J407">
        <v>3636</v>
      </c>
      <c r="K407">
        <v>314.5</v>
      </c>
      <c r="L407">
        <v>0</v>
      </c>
      <c r="M407" t="s">
        <v>40</v>
      </c>
      <c r="N407" t="str">
        <f>TEXT(Table1[[#This Row],[Order Date]],"MMMM")</f>
        <v>September</v>
      </c>
      <c r="O407">
        <f>YEAR(Table1[[#This Row],[Order Date]])</f>
        <v>2025</v>
      </c>
      <c r="P407" t="str">
        <f>"Q"&amp;ROUNDUP(MONTH(Table1[[#This Row],[Order Date]])/3,0)</f>
        <v>Q3</v>
      </c>
      <c r="Q407" s="3">
        <f>Table1[[#This Row],[Profit]]/Table1[[#This Row],[Sales]]</f>
        <v>8.6496149614961493E-2</v>
      </c>
      <c r="R407" t="str">
        <f>IF(Table1[[#This Row],[Sales]]&lt;1000,"LOW",IF(Table1[[#This Row],[Sales]]&lt;5000,"MEDIUM","HIGH"))</f>
        <v>MEDIUM</v>
      </c>
      <c r="S407" s="2">
        <f>Table1[[#This Row],[Discount]]/100</f>
        <v>0</v>
      </c>
    </row>
    <row r="408" spans="1:19" x14ac:dyDescent="0.3">
      <c r="A408">
        <v>10407</v>
      </c>
      <c r="B408" s="1" t="s">
        <v>466</v>
      </c>
      <c r="C408" t="s">
        <v>231</v>
      </c>
      <c r="D408" t="s">
        <v>36</v>
      </c>
      <c r="E408" t="s">
        <v>37</v>
      </c>
      <c r="F408" t="s">
        <v>25</v>
      </c>
      <c r="G408" t="s">
        <v>95</v>
      </c>
      <c r="H408" t="s">
        <v>96</v>
      </c>
      <c r="I408">
        <v>8</v>
      </c>
      <c r="J408">
        <v>12920</v>
      </c>
      <c r="K408">
        <v>1071.75</v>
      </c>
      <c r="L408">
        <v>5</v>
      </c>
      <c r="M408" t="s">
        <v>49</v>
      </c>
      <c r="N408" t="str">
        <f>TEXT(Table1[[#This Row],[Order Date]],"MMMM")</f>
        <v>May</v>
      </c>
      <c r="O408">
        <f>YEAR(Table1[[#This Row],[Order Date]])</f>
        <v>2025</v>
      </c>
      <c r="P408" t="str">
        <f>"Q"&amp;ROUNDUP(MONTH(Table1[[#This Row],[Order Date]])/3,0)</f>
        <v>Q2</v>
      </c>
      <c r="Q408" s="3">
        <f>Table1[[#This Row],[Profit]]/Table1[[#This Row],[Sales]]</f>
        <v>8.2952786377708976E-2</v>
      </c>
      <c r="R408" t="str">
        <f>IF(Table1[[#This Row],[Sales]]&lt;1000,"LOW",IF(Table1[[#This Row],[Sales]]&lt;5000,"MEDIUM","HIGH"))</f>
        <v>HIGH</v>
      </c>
      <c r="S408" s="2">
        <f>Table1[[#This Row],[Discount]]/100</f>
        <v>0.05</v>
      </c>
    </row>
    <row r="409" spans="1:19" x14ac:dyDescent="0.3">
      <c r="A409">
        <v>10408</v>
      </c>
      <c r="B409" s="1" t="s">
        <v>467</v>
      </c>
      <c r="C409" t="s">
        <v>246</v>
      </c>
      <c r="D409" t="s">
        <v>52</v>
      </c>
      <c r="E409" t="s">
        <v>53</v>
      </c>
      <c r="F409" t="s">
        <v>17</v>
      </c>
      <c r="G409" t="s">
        <v>43</v>
      </c>
      <c r="H409" t="s">
        <v>44</v>
      </c>
      <c r="I409">
        <v>1</v>
      </c>
      <c r="J409">
        <v>1934.1</v>
      </c>
      <c r="K409">
        <v>185.03</v>
      </c>
      <c r="L409">
        <v>10</v>
      </c>
      <c r="M409" t="s">
        <v>28</v>
      </c>
      <c r="N409" t="str">
        <f>TEXT(Table1[[#This Row],[Order Date]],"MMMM")</f>
        <v>March</v>
      </c>
      <c r="O409">
        <f>YEAR(Table1[[#This Row],[Order Date]])</f>
        <v>2025</v>
      </c>
      <c r="P409" t="str">
        <f>"Q"&amp;ROUNDUP(MONTH(Table1[[#This Row],[Order Date]])/3,0)</f>
        <v>Q1</v>
      </c>
      <c r="Q409" s="3">
        <f>Table1[[#This Row],[Profit]]/Table1[[#This Row],[Sales]]</f>
        <v>9.5667235406649093E-2</v>
      </c>
      <c r="R409" t="str">
        <f>IF(Table1[[#This Row],[Sales]]&lt;1000,"LOW",IF(Table1[[#This Row],[Sales]]&lt;5000,"MEDIUM","HIGH"))</f>
        <v>MEDIUM</v>
      </c>
      <c r="S409" s="2">
        <f>Table1[[#This Row],[Discount]]/100</f>
        <v>0.1</v>
      </c>
    </row>
    <row r="410" spans="1:19" x14ac:dyDescent="0.3">
      <c r="A410">
        <v>10409</v>
      </c>
      <c r="B410" s="1" t="s">
        <v>145</v>
      </c>
      <c r="C410" t="s">
        <v>304</v>
      </c>
      <c r="D410" t="s">
        <v>74</v>
      </c>
      <c r="E410" t="s">
        <v>74</v>
      </c>
      <c r="F410" t="s">
        <v>31</v>
      </c>
      <c r="G410" t="s">
        <v>89</v>
      </c>
      <c r="H410" t="s">
        <v>90</v>
      </c>
      <c r="I410">
        <v>6</v>
      </c>
      <c r="J410">
        <v>1440</v>
      </c>
      <c r="K410">
        <v>173.72</v>
      </c>
      <c r="L410">
        <v>20</v>
      </c>
      <c r="M410" t="s">
        <v>49</v>
      </c>
      <c r="N410" t="str">
        <f>TEXT(Table1[[#This Row],[Order Date]],"MMMM")</f>
        <v>July</v>
      </c>
      <c r="O410">
        <f>YEAR(Table1[[#This Row],[Order Date]])</f>
        <v>2025</v>
      </c>
      <c r="P410" t="str">
        <f>"Q"&amp;ROUNDUP(MONTH(Table1[[#This Row],[Order Date]])/3,0)</f>
        <v>Q3</v>
      </c>
      <c r="Q410" s="3">
        <f>Table1[[#This Row],[Profit]]/Table1[[#This Row],[Sales]]</f>
        <v>0.12063888888888889</v>
      </c>
      <c r="R410" t="str">
        <f>IF(Table1[[#This Row],[Sales]]&lt;1000,"LOW",IF(Table1[[#This Row],[Sales]]&lt;5000,"MEDIUM","HIGH"))</f>
        <v>MEDIUM</v>
      </c>
      <c r="S410" s="2">
        <f>Table1[[#This Row],[Discount]]/100</f>
        <v>0.2</v>
      </c>
    </row>
    <row r="411" spans="1:19" x14ac:dyDescent="0.3">
      <c r="A411">
        <v>10410</v>
      </c>
      <c r="B411" s="1" t="s">
        <v>468</v>
      </c>
      <c r="C411" t="s">
        <v>419</v>
      </c>
      <c r="D411" t="s">
        <v>60</v>
      </c>
      <c r="E411" t="s">
        <v>61</v>
      </c>
      <c r="F411" t="s">
        <v>17</v>
      </c>
      <c r="G411" t="s">
        <v>43</v>
      </c>
      <c r="H411" t="s">
        <v>44</v>
      </c>
      <c r="I411">
        <v>4</v>
      </c>
      <c r="J411">
        <v>9417.6</v>
      </c>
      <c r="K411">
        <v>1027.8399999999999</v>
      </c>
      <c r="L411">
        <v>10</v>
      </c>
      <c r="M411" t="s">
        <v>20</v>
      </c>
      <c r="N411" t="str">
        <f>TEXT(Table1[[#This Row],[Order Date]],"MMMM")</f>
        <v>March</v>
      </c>
      <c r="O411">
        <f>YEAR(Table1[[#This Row],[Order Date]])</f>
        <v>2025</v>
      </c>
      <c r="P411" t="str">
        <f>"Q"&amp;ROUNDUP(MONTH(Table1[[#This Row],[Order Date]])/3,0)</f>
        <v>Q1</v>
      </c>
      <c r="Q411" s="3">
        <f>Table1[[#This Row],[Profit]]/Table1[[#This Row],[Sales]]</f>
        <v>0.10914033299354399</v>
      </c>
      <c r="R411" t="str">
        <f>IF(Table1[[#This Row],[Sales]]&lt;1000,"LOW",IF(Table1[[#This Row],[Sales]]&lt;5000,"MEDIUM","HIGH"))</f>
        <v>HIGH</v>
      </c>
      <c r="S411" s="2">
        <f>Table1[[#This Row],[Discount]]/100</f>
        <v>0.1</v>
      </c>
    </row>
    <row r="412" spans="1:19" x14ac:dyDescent="0.3">
      <c r="A412">
        <v>10411</v>
      </c>
      <c r="B412" s="1" t="s">
        <v>378</v>
      </c>
      <c r="C412" t="s">
        <v>356</v>
      </c>
      <c r="D412" t="s">
        <v>56</v>
      </c>
      <c r="E412" t="s">
        <v>57</v>
      </c>
      <c r="F412" t="s">
        <v>31</v>
      </c>
      <c r="G412" t="s">
        <v>124</v>
      </c>
      <c r="H412" t="s">
        <v>125</v>
      </c>
      <c r="I412">
        <v>4</v>
      </c>
      <c r="J412">
        <v>16405</v>
      </c>
      <c r="K412">
        <v>2210.3000000000002</v>
      </c>
      <c r="L412">
        <v>15</v>
      </c>
      <c r="M412" t="s">
        <v>49</v>
      </c>
      <c r="N412" t="str">
        <f>TEXT(Table1[[#This Row],[Order Date]],"MMMM")</f>
        <v>April</v>
      </c>
      <c r="O412">
        <f>YEAR(Table1[[#This Row],[Order Date]])</f>
        <v>2025</v>
      </c>
      <c r="P412" t="str">
        <f>"Q"&amp;ROUNDUP(MONTH(Table1[[#This Row],[Order Date]])/3,0)</f>
        <v>Q2</v>
      </c>
      <c r="Q412" s="3">
        <f>Table1[[#This Row],[Profit]]/Table1[[#This Row],[Sales]]</f>
        <v>0.13473331301432492</v>
      </c>
      <c r="R412" t="str">
        <f>IF(Table1[[#This Row],[Sales]]&lt;1000,"LOW",IF(Table1[[#This Row],[Sales]]&lt;5000,"MEDIUM","HIGH"))</f>
        <v>HIGH</v>
      </c>
      <c r="S412" s="2">
        <f>Table1[[#This Row],[Discount]]/100</f>
        <v>0.15</v>
      </c>
    </row>
    <row r="413" spans="1:19" x14ac:dyDescent="0.3">
      <c r="A413">
        <v>10412</v>
      </c>
      <c r="B413" s="1" t="s">
        <v>442</v>
      </c>
      <c r="C413" t="s">
        <v>445</v>
      </c>
      <c r="D413" t="s">
        <v>74</v>
      </c>
      <c r="E413" t="s">
        <v>74</v>
      </c>
      <c r="F413" t="s">
        <v>17</v>
      </c>
      <c r="G413" t="s">
        <v>43</v>
      </c>
      <c r="H413" t="s">
        <v>44</v>
      </c>
      <c r="I413">
        <v>5</v>
      </c>
      <c r="J413">
        <v>4678.75</v>
      </c>
      <c r="K413">
        <v>429.94</v>
      </c>
      <c r="L413">
        <v>5</v>
      </c>
      <c r="M413" t="s">
        <v>28</v>
      </c>
      <c r="N413" t="str">
        <f>TEXT(Table1[[#This Row],[Order Date]],"MMMM")</f>
        <v>February</v>
      </c>
      <c r="O413">
        <f>YEAR(Table1[[#This Row],[Order Date]])</f>
        <v>2025</v>
      </c>
      <c r="P413" t="str">
        <f>"Q"&amp;ROUNDUP(MONTH(Table1[[#This Row],[Order Date]])/3,0)</f>
        <v>Q1</v>
      </c>
      <c r="Q413" s="3">
        <f>Table1[[#This Row],[Profit]]/Table1[[#This Row],[Sales]]</f>
        <v>9.1892065188351593E-2</v>
      </c>
      <c r="R413" t="str">
        <f>IF(Table1[[#This Row],[Sales]]&lt;1000,"LOW",IF(Table1[[#This Row],[Sales]]&lt;5000,"MEDIUM","HIGH"))</f>
        <v>MEDIUM</v>
      </c>
      <c r="S413" s="2">
        <f>Table1[[#This Row],[Discount]]/100</f>
        <v>0.05</v>
      </c>
    </row>
    <row r="414" spans="1:19" x14ac:dyDescent="0.3">
      <c r="A414">
        <v>10413</v>
      </c>
      <c r="B414" s="1" t="s">
        <v>442</v>
      </c>
      <c r="C414" t="s">
        <v>469</v>
      </c>
      <c r="D414" t="s">
        <v>52</v>
      </c>
      <c r="E414" t="s">
        <v>53</v>
      </c>
      <c r="F414" t="s">
        <v>17</v>
      </c>
      <c r="G414" t="s">
        <v>43</v>
      </c>
      <c r="H414" t="s">
        <v>44</v>
      </c>
      <c r="I414">
        <v>5</v>
      </c>
      <c r="J414">
        <v>2717</v>
      </c>
      <c r="K414">
        <v>335.45</v>
      </c>
      <c r="L414">
        <v>5</v>
      </c>
      <c r="M414" t="s">
        <v>45</v>
      </c>
      <c r="N414" t="str">
        <f>TEXT(Table1[[#This Row],[Order Date]],"MMMM")</f>
        <v>February</v>
      </c>
      <c r="O414">
        <f>YEAR(Table1[[#This Row],[Order Date]])</f>
        <v>2025</v>
      </c>
      <c r="P414" t="str">
        <f>"Q"&amp;ROUNDUP(MONTH(Table1[[#This Row],[Order Date]])/3,0)</f>
        <v>Q1</v>
      </c>
      <c r="Q414" s="3">
        <f>Table1[[#This Row],[Profit]]/Table1[[#This Row],[Sales]]</f>
        <v>0.12346337872653662</v>
      </c>
      <c r="R414" t="str">
        <f>IF(Table1[[#This Row],[Sales]]&lt;1000,"LOW",IF(Table1[[#This Row],[Sales]]&lt;5000,"MEDIUM","HIGH"))</f>
        <v>MEDIUM</v>
      </c>
      <c r="S414" s="2">
        <f>Table1[[#This Row],[Discount]]/100</f>
        <v>0.05</v>
      </c>
    </row>
    <row r="415" spans="1:19" x14ac:dyDescent="0.3">
      <c r="A415">
        <v>10414</v>
      </c>
      <c r="B415" s="1" t="s">
        <v>204</v>
      </c>
      <c r="C415" t="s">
        <v>248</v>
      </c>
      <c r="D415" t="s">
        <v>23</v>
      </c>
      <c r="E415" t="s">
        <v>24</v>
      </c>
      <c r="F415" t="s">
        <v>25</v>
      </c>
      <c r="G415" t="s">
        <v>26</v>
      </c>
      <c r="H415" t="s">
        <v>71</v>
      </c>
      <c r="I415">
        <v>6</v>
      </c>
      <c r="J415">
        <v>20250</v>
      </c>
      <c r="K415">
        <v>1925.07</v>
      </c>
      <c r="L415">
        <v>10</v>
      </c>
      <c r="M415" t="s">
        <v>40</v>
      </c>
      <c r="N415" t="str">
        <f>TEXT(Table1[[#This Row],[Order Date]],"MMMM")</f>
        <v>December</v>
      </c>
      <c r="O415">
        <f>YEAR(Table1[[#This Row],[Order Date]])</f>
        <v>2025</v>
      </c>
      <c r="P415" t="str">
        <f>"Q"&amp;ROUNDUP(MONTH(Table1[[#This Row],[Order Date]])/3,0)</f>
        <v>Q4</v>
      </c>
      <c r="Q415" s="3">
        <f>Table1[[#This Row],[Profit]]/Table1[[#This Row],[Sales]]</f>
        <v>9.5065185185185183E-2</v>
      </c>
      <c r="R415" t="str">
        <f>IF(Table1[[#This Row],[Sales]]&lt;1000,"LOW",IF(Table1[[#This Row],[Sales]]&lt;5000,"MEDIUM","HIGH"))</f>
        <v>HIGH</v>
      </c>
      <c r="S415" s="2">
        <f>Table1[[#This Row],[Discount]]/100</f>
        <v>0.1</v>
      </c>
    </row>
    <row r="416" spans="1:19" x14ac:dyDescent="0.3">
      <c r="A416">
        <v>10415</v>
      </c>
      <c r="B416" s="1" t="s">
        <v>307</v>
      </c>
      <c r="C416" t="s">
        <v>396</v>
      </c>
      <c r="D416" t="s">
        <v>52</v>
      </c>
      <c r="E416" t="s">
        <v>53</v>
      </c>
      <c r="F416" t="s">
        <v>31</v>
      </c>
      <c r="G416" t="s">
        <v>38</v>
      </c>
      <c r="H416" t="s">
        <v>39</v>
      </c>
      <c r="I416">
        <v>5</v>
      </c>
      <c r="J416">
        <v>9367</v>
      </c>
      <c r="K416">
        <v>1819.22</v>
      </c>
      <c r="L416">
        <v>5</v>
      </c>
      <c r="M416" t="s">
        <v>28</v>
      </c>
      <c r="N416" t="str">
        <f>TEXT(Table1[[#This Row],[Order Date]],"MMMM")</f>
        <v>June</v>
      </c>
      <c r="O416">
        <f>YEAR(Table1[[#This Row],[Order Date]])</f>
        <v>2025</v>
      </c>
      <c r="P416" t="str">
        <f>"Q"&amp;ROUNDUP(MONTH(Table1[[#This Row],[Order Date]])/3,0)</f>
        <v>Q2</v>
      </c>
      <c r="Q416" s="3">
        <f>Table1[[#This Row],[Profit]]/Table1[[#This Row],[Sales]]</f>
        <v>0.19421586420412085</v>
      </c>
      <c r="R416" t="str">
        <f>IF(Table1[[#This Row],[Sales]]&lt;1000,"LOW",IF(Table1[[#This Row],[Sales]]&lt;5000,"MEDIUM","HIGH"))</f>
        <v>HIGH</v>
      </c>
      <c r="S416" s="2">
        <f>Table1[[#This Row],[Discount]]/100</f>
        <v>0.05</v>
      </c>
    </row>
    <row r="417" spans="1:19" x14ac:dyDescent="0.3">
      <c r="A417">
        <v>10416</v>
      </c>
      <c r="B417" s="1" t="s">
        <v>470</v>
      </c>
      <c r="C417" t="s">
        <v>246</v>
      </c>
      <c r="D417" t="s">
        <v>66</v>
      </c>
      <c r="E417" t="s">
        <v>16</v>
      </c>
      <c r="F417" t="s">
        <v>31</v>
      </c>
      <c r="G417" t="s">
        <v>32</v>
      </c>
      <c r="H417" t="s">
        <v>33</v>
      </c>
      <c r="I417">
        <v>1</v>
      </c>
      <c r="J417">
        <v>139.65</v>
      </c>
      <c r="K417">
        <v>34.590000000000003</v>
      </c>
      <c r="L417">
        <v>5</v>
      </c>
      <c r="M417" t="s">
        <v>20</v>
      </c>
      <c r="N417" t="str">
        <f>TEXT(Table1[[#This Row],[Order Date]],"MMMM")</f>
        <v>August</v>
      </c>
      <c r="O417">
        <f>YEAR(Table1[[#This Row],[Order Date]])</f>
        <v>2025</v>
      </c>
      <c r="P417" t="str">
        <f>"Q"&amp;ROUNDUP(MONTH(Table1[[#This Row],[Order Date]])/3,0)</f>
        <v>Q3</v>
      </c>
      <c r="Q417" s="3">
        <f>Table1[[#This Row],[Profit]]/Table1[[#This Row],[Sales]]</f>
        <v>0.24769065520945222</v>
      </c>
      <c r="R417" t="str">
        <f>IF(Table1[[#This Row],[Sales]]&lt;1000,"LOW",IF(Table1[[#This Row],[Sales]]&lt;5000,"MEDIUM","HIGH"))</f>
        <v>LOW</v>
      </c>
      <c r="S417" s="2">
        <f>Table1[[#This Row],[Discount]]/100</f>
        <v>0.05</v>
      </c>
    </row>
    <row r="418" spans="1:19" x14ac:dyDescent="0.3">
      <c r="A418">
        <v>10417</v>
      </c>
      <c r="B418" s="1" t="s">
        <v>471</v>
      </c>
      <c r="C418" t="s">
        <v>445</v>
      </c>
      <c r="D418" t="s">
        <v>52</v>
      </c>
      <c r="E418" t="s">
        <v>53</v>
      </c>
      <c r="F418" t="s">
        <v>31</v>
      </c>
      <c r="G418" t="s">
        <v>89</v>
      </c>
      <c r="H418" t="s">
        <v>90</v>
      </c>
      <c r="I418">
        <v>4</v>
      </c>
      <c r="J418">
        <v>15000.8</v>
      </c>
      <c r="K418">
        <v>1701.34</v>
      </c>
      <c r="L418">
        <v>15</v>
      </c>
      <c r="M418" t="s">
        <v>28</v>
      </c>
      <c r="N418" t="str">
        <f>TEXT(Table1[[#This Row],[Order Date]],"MMMM")</f>
        <v>December</v>
      </c>
      <c r="O418">
        <f>YEAR(Table1[[#This Row],[Order Date]])</f>
        <v>2025</v>
      </c>
      <c r="P418" t="str">
        <f>"Q"&amp;ROUNDUP(MONTH(Table1[[#This Row],[Order Date]])/3,0)</f>
        <v>Q4</v>
      </c>
      <c r="Q418" s="3">
        <f>Table1[[#This Row],[Profit]]/Table1[[#This Row],[Sales]]</f>
        <v>0.11341661778038505</v>
      </c>
      <c r="R418" t="str">
        <f>IF(Table1[[#This Row],[Sales]]&lt;1000,"LOW",IF(Table1[[#This Row],[Sales]]&lt;5000,"MEDIUM","HIGH"))</f>
        <v>HIGH</v>
      </c>
      <c r="S418" s="2">
        <f>Table1[[#This Row],[Discount]]/100</f>
        <v>0.15</v>
      </c>
    </row>
    <row r="419" spans="1:19" x14ac:dyDescent="0.3">
      <c r="A419">
        <v>10418</v>
      </c>
      <c r="B419" s="1" t="s">
        <v>338</v>
      </c>
      <c r="C419" t="s">
        <v>141</v>
      </c>
      <c r="D419" t="s">
        <v>74</v>
      </c>
      <c r="E419" t="s">
        <v>74</v>
      </c>
      <c r="F419" t="s">
        <v>25</v>
      </c>
      <c r="G419" t="s">
        <v>26</v>
      </c>
      <c r="H419" t="s">
        <v>71</v>
      </c>
      <c r="I419">
        <v>6</v>
      </c>
      <c r="J419">
        <v>13598.4</v>
      </c>
      <c r="K419">
        <v>1613.51</v>
      </c>
      <c r="L419">
        <v>20</v>
      </c>
      <c r="M419" t="s">
        <v>49</v>
      </c>
      <c r="N419" t="str">
        <f>TEXT(Table1[[#This Row],[Order Date]],"MMMM")</f>
        <v>September</v>
      </c>
      <c r="O419">
        <f>YEAR(Table1[[#This Row],[Order Date]])</f>
        <v>2025</v>
      </c>
      <c r="P419" t="str">
        <f>"Q"&amp;ROUNDUP(MONTH(Table1[[#This Row],[Order Date]])/3,0)</f>
        <v>Q3</v>
      </c>
      <c r="Q419" s="3">
        <f>Table1[[#This Row],[Profit]]/Table1[[#This Row],[Sales]]</f>
        <v>0.11865440051770797</v>
      </c>
      <c r="R419" t="str">
        <f>IF(Table1[[#This Row],[Sales]]&lt;1000,"LOW",IF(Table1[[#This Row],[Sales]]&lt;5000,"MEDIUM","HIGH"))</f>
        <v>HIGH</v>
      </c>
      <c r="S419" s="2">
        <f>Table1[[#This Row],[Discount]]/100</f>
        <v>0.2</v>
      </c>
    </row>
    <row r="420" spans="1:19" x14ac:dyDescent="0.3">
      <c r="A420">
        <v>10419</v>
      </c>
      <c r="B420" s="1" t="s">
        <v>472</v>
      </c>
      <c r="C420" t="s">
        <v>103</v>
      </c>
      <c r="D420" t="s">
        <v>36</v>
      </c>
      <c r="E420" t="s">
        <v>37</v>
      </c>
      <c r="F420" t="s">
        <v>17</v>
      </c>
      <c r="G420" t="s">
        <v>43</v>
      </c>
      <c r="H420" t="s">
        <v>44</v>
      </c>
      <c r="I420">
        <v>7</v>
      </c>
      <c r="J420">
        <v>13923</v>
      </c>
      <c r="K420">
        <v>4160.3900000000003</v>
      </c>
      <c r="L420">
        <v>0</v>
      </c>
      <c r="M420" t="s">
        <v>40</v>
      </c>
      <c r="N420" t="str">
        <f>TEXT(Table1[[#This Row],[Order Date]],"MMMM")</f>
        <v>October</v>
      </c>
      <c r="O420">
        <f>YEAR(Table1[[#This Row],[Order Date]])</f>
        <v>2025</v>
      </c>
      <c r="P420" t="str">
        <f>"Q"&amp;ROUNDUP(MONTH(Table1[[#This Row],[Order Date]])/3,0)</f>
        <v>Q4</v>
      </c>
      <c r="Q420" s="3">
        <f>Table1[[#This Row],[Profit]]/Table1[[#This Row],[Sales]]</f>
        <v>0.29881419234360412</v>
      </c>
      <c r="R420" t="str">
        <f>IF(Table1[[#This Row],[Sales]]&lt;1000,"LOW",IF(Table1[[#This Row],[Sales]]&lt;5000,"MEDIUM","HIGH"))</f>
        <v>HIGH</v>
      </c>
      <c r="S420" s="2">
        <f>Table1[[#This Row],[Discount]]/100</f>
        <v>0</v>
      </c>
    </row>
    <row r="421" spans="1:19" x14ac:dyDescent="0.3">
      <c r="A421">
        <v>10420</v>
      </c>
      <c r="B421" s="1" t="s">
        <v>220</v>
      </c>
      <c r="C421" t="s">
        <v>370</v>
      </c>
      <c r="D421" t="s">
        <v>23</v>
      </c>
      <c r="E421" t="s">
        <v>24</v>
      </c>
      <c r="F421" t="s">
        <v>31</v>
      </c>
      <c r="G421" t="s">
        <v>32</v>
      </c>
      <c r="H421" t="s">
        <v>33</v>
      </c>
      <c r="I421">
        <v>6</v>
      </c>
      <c r="J421">
        <v>22051.200000000001</v>
      </c>
      <c r="K421">
        <v>5859.08</v>
      </c>
      <c r="L421">
        <v>20</v>
      </c>
      <c r="M421" t="s">
        <v>40</v>
      </c>
      <c r="N421" t="str">
        <f>TEXT(Table1[[#This Row],[Order Date]],"MMMM")</f>
        <v>July</v>
      </c>
      <c r="O421">
        <f>YEAR(Table1[[#This Row],[Order Date]])</f>
        <v>2025</v>
      </c>
      <c r="P421" t="str">
        <f>"Q"&amp;ROUNDUP(MONTH(Table1[[#This Row],[Order Date]])/3,0)</f>
        <v>Q3</v>
      </c>
      <c r="Q421" s="3">
        <f>Table1[[#This Row],[Profit]]/Table1[[#This Row],[Sales]]</f>
        <v>0.26570345378029314</v>
      </c>
      <c r="R421" t="str">
        <f>IF(Table1[[#This Row],[Sales]]&lt;1000,"LOW",IF(Table1[[#This Row],[Sales]]&lt;5000,"MEDIUM","HIGH"))</f>
        <v>HIGH</v>
      </c>
      <c r="S421" s="2">
        <f>Table1[[#This Row],[Discount]]/100</f>
        <v>0.2</v>
      </c>
    </row>
    <row r="422" spans="1:19" x14ac:dyDescent="0.3">
      <c r="A422">
        <v>10421</v>
      </c>
      <c r="B422" s="1" t="s">
        <v>157</v>
      </c>
      <c r="C422" t="s">
        <v>174</v>
      </c>
      <c r="D422" t="s">
        <v>52</v>
      </c>
      <c r="E422" t="s">
        <v>53</v>
      </c>
      <c r="F422" t="s">
        <v>25</v>
      </c>
      <c r="G422" t="s">
        <v>95</v>
      </c>
      <c r="H422" t="s">
        <v>96</v>
      </c>
      <c r="I422">
        <v>2</v>
      </c>
      <c r="J422">
        <v>4798.3999999999996</v>
      </c>
      <c r="K422">
        <v>1279.94</v>
      </c>
      <c r="L422">
        <v>20</v>
      </c>
      <c r="M422" t="s">
        <v>45</v>
      </c>
      <c r="N422" t="str">
        <f>TEXT(Table1[[#This Row],[Order Date]],"MMMM")</f>
        <v>June</v>
      </c>
      <c r="O422">
        <f>YEAR(Table1[[#This Row],[Order Date]])</f>
        <v>2025</v>
      </c>
      <c r="P422" t="str">
        <f>"Q"&amp;ROUNDUP(MONTH(Table1[[#This Row],[Order Date]])/3,0)</f>
        <v>Q2</v>
      </c>
      <c r="Q422" s="3">
        <f>Table1[[#This Row],[Profit]]/Table1[[#This Row],[Sales]]</f>
        <v>0.26674308102700905</v>
      </c>
      <c r="R422" t="str">
        <f>IF(Table1[[#This Row],[Sales]]&lt;1000,"LOW",IF(Table1[[#This Row],[Sales]]&lt;5000,"MEDIUM","HIGH"))</f>
        <v>MEDIUM</v>
      </c>
      <c r="S422" s="2">
        <f>Table1[[#This Row],[Discount]]/100</f>
        <v>0.2</v>
      </c>
    </row>
    <row r="423" spans="1:19" x14ac:dyDescent="0.3">
      <c r="A423">
        <v>10422</v>
      </c>
      <c r="B423" s="1" t="s">
        <v>473</v>
      </c>
      <c r="C423" t="s">
        <v>139</v>
      </c>
      <c r="D423" t="s">
        <v>60</v>
      </c>
      <c r="E423" t="s">
        <v>61</v>
      </c>
      <c r="F423" t="s">
        <v>25</v>
      </c>
      <c r="G423" t="s">
        <v>26</v>
      </c>
      <c r="H423" t="s">
        <v>71</v>
      </c>
      <c r="I423">
        <v>8</v>
      </c>
      <c r="J423">
        <v>32940</v>
      </c>
      <c r="K423">
        <v>6261.02</v>
      </c>
      <c r="L423">
        <v>10</v>
      </c>
      <c r="M423" t="s">
        <v>28</v>
      </c>
      <c r="N423" t="str">
        <f>TEXT(Table1[[#This Row],[Order Date]],"MMMM")</f>
        <v>December</v>
      </c>
      <c r="O423">
        <f>YEAR(Table1[[#This Row],[Order Date]])</f>
        <v>2025</v>
      </c>
      <c r="P423" t="str">
        <f>"Q"&amp;ROUNDUP(MONTH(Table1[[#This Row],[Order Date]])/3,0)</f>
        <v>Q4</v>
      </c>
      <c r="Q423" s="3">
        <f>Table1[[#This Row],[Profit]]/Table1[[#This Row],[Sales]]</f>
        <v>0.1900734669095325</v>
      </c>
      <c r="R423" t="str">
        <f>IF(Table1[[#This Row],[Sales]]&lt;1000,"LOW",IF(Table1[[#This Row],[Sales]]&lt;5000,"MEDIUM","HIGH"))</f>
        <v>HIGH</v>
      </c>
      <c r="S423" s="2">
        <f>Table1[[#This Row],[Discount]]/100</f>
        <v>0.1</v>
      </c>
    </row>
    <row r="424" spans="1:19" x14ac:dyDescent="0.3">
      <c r="A424">
        <v>10423</v>
      </c>
      <c r="B424" s="1" t="s">
        <v>393</v>
      </c>
      <c r="C424" t="s">
        <v>86</v>
      </c>
      <c r="D424" t="s">
        <v>74</v>
      </c>
      <c r="E424" t="s">
        <v>74</v>
      </c>
      <c r="F424" t="s">
        <v>25</v>
      </c>
      <c r="G424" t="s">
        <v>95</v>
      </c>
      <c r="H424" t="s">
        <v>96</v>
      </c>
      <c r="I424">
        <v>4</v>
      </c>
      <c r="J424">
        <v>5472</v>
      </c>
      <c r="K424">
        <v>1277.56</v>
      </c>
      <c r="L424">
        <v>20</v>
      </c>
      <c r="M424" t="s">
        <v>45</v>
      </c>
      <c r="N424" t="str">
        <f>TEXT(Table1[[#This Row],[Order Date]],"MMMM")</f>
        <v>October</v>
      </c>
      <c r="O424">
        <f>YEAR(Table1[[#This Row],[Order Date]])</f>
        <v>2025</v>
      </c>
      <c r="P424" t="str">
        <f>"Q"&amp;ROUNDUP(MONTH(Table1[[#This Row],[Order Date]])/3,0)</f>
        <v>Q4</v>
      </c>
      <c r="Q424" s="3">
        <f>Table1[[#This Row],[Profit]]/Table1[[#This Row],[Sales]]</f>
        <v>0.23347222222222222</v>
      </c>
      <c r="R424" t="str">
        <f>IF(Table1[[#This Row],[Sales]]&lt;1000,"LOW",IF(Table1[[#This Row],[Sales]]&lt;5000,"MEDIUM","HIGH"))</f>
        <v>HIGH</v>
      </c>
      <c r="S424" s="2">
        <f>Table1[[#This Row],[Discount]]/100</f>
        <v>0.2</v>
      </c>
    </row>
    <row r="425" spans="1:19" x14ac:dyDescent="0.3">
      <c r="A425">
        <v>10424</v>
      </c>
      <c r="B425" s="1" t="s">
        <v>474</v>
      </c>
      <c r="C425" t="s">
        <v>127</v>
      </c>
      <c r="D425" t="s">
        <v>56</v>
      </c>
      <c r="E425" t="s">
        <v>57</v>
      </c>
      <c r="F425" t="s">
        <v>25</v>
      </c>
      <c r="G425" t="s">
        <v>26</v>
      </c>
      <c r="H425" t="s">
        <v>71</v>
      </c>
      <c r="I425">
        <v>6</v>
      </c>
      <c r="J425">
        <v>11343</v>
      </c>
      <c r="K425">
        <v>1075.83</v>
      </c>
      <c r="L425">
        <v>5</v>
      </c>
      <c r="M425" t="s">
        <v>40</v>
      </c>
      <c r="N425" t="str">
        <f>TEXT(Table1[[#This Row],[Order Date]],"MMMM")</f>
        <v>March</v>
      </c>
      <c r="O425">
        <f>YEAR(Table1[[#This Row],[Order Date]])</f>
        <v>2025</v>
      </c>
      <c r="P425" t="str">
        <f>"Q"&amp;ROUNDUP(MONTH(Table1[[#This Row],[Order Date]])/3,0)</f>
        <v>Q1</v>
      </c>
      <c r="Q425" s="3">
        <f>Table1[[#This Row],[Profit]]/Table1[[#This Row],[Sales]]</f>
        <v>9.4845279026712498E-2</v>
      </c>
      <c r="R425" t="str">
        <f>IF(Table1[[#This Row],[Sales]]&lt;1000,"LOW",IF(Table1[[#This Row],[Sales]]&lt;5000,"MEDIUM","HIGH"))</f>
        <v>HIGH</v>
      </c>
      <c r="S425" s="2">
        <f>Table1[[#This Row],[Discount]]/100</f>
        <v>0.05</v>
      </c>
    </row>
    <row r="426" spans="1:19" x14ac:dyDescent="0.3">
      <c r="A426">
        <v>10425</v>
      </c>
      <c r="B426" s="1" t="s">
        <v>128</v>
      </c>
      <c r="C426" t="s">
        <v>475</v>
      </c>
      <c r="D426" t="s">
        <v>60</v>
      </c>
      <c r="E426" t="s">
        <v>61</v>
      </c>
      <c r="F426" t="s">
        <v>31</v>
      </c>
      <c r="G426" t="s">
        <v>32</v>
      </c>
      <c r="H426" t="s">
        <v>33</v>
      </c>
      <c r="I426">
        <v>5</v>
      </c>
      <c r="J426">
        <v>20772</v>
      </c>
      <c r="K426">
        <v>6156.39</v>
      </c>
      <c r="L426">
        <v>10</v>
      </c>
      <c r="M426" t="s">
        <v>45</v>
      </c>
      <c r="N426" t="str">
        <f>TEXT(Table1[[#This Row],[Order Date]],"MMMM")</f>
        <v>November</v>
      </c>
      <c r="O426">
        <f>YEAR(Table1[[#This Row],[Order Date]])</f>
        <v>2025</v>
      </c>
      <c r="P426" t="str">
        <f>"Q"&amp;ROUNDUP(MONTH(Table1[[#This Row],[Order Date]])/3,0)</f>
        <v>Q4</v>
      </c>
      <c r="Q426" s="3">
        <f>Table1[[#This Row],[Profit]]/Table1[[#This Row],[Sales]]</f>
        <v>0.2963792605430387</v>
      </c>
      <c r="R426" t="str">
        <f>IF(Table1[[#This Row],[Sales]]&lt;1000,"LOW",IF(Table1[[#This Row],[Sales]]&lt;5000,"MEDIUM","HIGH"))</f>
        <v>HIGH</v>
      </c>
      <c r="S426" s="2">
        <f>Table1[[#This Row],[Discount]]/100</f>
        <v>0.1</v>
      </c>
    </row>
    <row r="427" spans="1:19" x14ac:dyDescent="0.3">
      <c r="A427">
        <v>10426</v>
      </c>
      <c r="B427" s="1" t="s">
        <v>178</v>
      </c>
      <c r="C427" t="s">
        <v>453</v>
      </c>
      <c r="D427" t="s">
        <v>66</v>
      </c>
      <c r="E427" t="s">
        <v>16</v>
      </c>
      <c r="F427" t="s">
        <v>31</v>
      </c>
      <c r="G427" t="s">
        <v>124</v>
      </c>
      <c r="H427" t="s">
        <v>125</v>
      </c>
      <c r="I427">
        <v>3</v>
      </c>
      <c r="J427">
        <v>1582.2</v>
      </c>
      <c r="K427">
        <v>215.41</v>
      </c>
      <c r="L427">
        <v>10</v>
      </c>
      <c r="M427" t="s">
        <v>20</v>
      </c>
      <c r="N427" t="str">
        <f>TEXT(Table1[[#This Row],[Order Date]],"MMMM")</f>
        <v>January</v>
      </c>
      <c r="O427">
        <f>YEAR(Table1[[#This Row],[Order Date]])</f>
        <v>2025</v>
      </c>
      <c r="P427" t="str">
        <f>"Q"&amp;ROUNDUP(MONTH(Table1[[#This Row],[Order Date]])/3,0)</f>
        <v>Q1</v>
      </c>
      <c r="Q427" s="3">
        <f>Table1[[#This Row],[Profit]]/Table1[[#This Row],[Sales]]</f>
        <v>0.13614587283529261</v>
      </c>
      <c r="R427" t="str">
        <f>IF(Table1[[#This Row],[Sales]]&lt;1000,"LOW",IF(Table1[[#This Row],[Sales]]&lt;5000,"MEDIUM","HIGH"))</f>
        <v>MEDIUM</v>
      </c>
      <c r="S427" s="2">
        <f>Table1[[#This Row],[Discount]]/100</f>
        <v>0.1</v>
      </c>
    </row>
    <row r="428" spans="1:19" x14ac:dyDescent="0.3">
      <c r="A428">
        <v>10427</v>
      </c>
      <c r="B428" s="1" t="s">
        <v>476</v>
      </c>
      <c r="C428" t="s">
        <v>115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6</v>
      </c>
      <c r="J428">
        <v>15168</v>
      </c>
      <c r="K428">
        <v>2946.25</v>
      </c>
      <c r="L428">
        <v>20</v>
      </c>
      <c r="M428" t="s">
        <v>20</v>
      </c>
      <c r="N428" t="str">
        <f>TEXT(Table1[[#This Row],[Order Date]],"MMMM")</f>
        <v>March</v>
      </c>
      <c r="O428">
        <f>YEAR(Table1[[#This Row],[Order Date]])</f>
        <v>2025</v>
      </c>
      <c r="P428" t="str">
        <f>"Q"&amp;ROUNDUP(MONTH(Table1[[#This Row],[Order Date]])/3,0)</f>
        <v>Q1</v>
      </c>
      <c r="Q428" s="3">
        <f>Table1[[#This Row],[Profit]]/Table1[[#This Row],[Sales]]</f>
        <v>0.19424116561181434</v>
      </c>
      <c r="R428" t="str">
        <f>IF(Table1[[#This Row],[Sales]]&lt;1000,"LOW",IF(Table1[[#This Row],[Sales]]&lt;5000,"MEDIUM","HIGH"))</f>
        <v>HIGH</v>
      </c>
      <c r="S428" s="2">
        <f>Table1[[#This Row],[Discount]]/100</f>
        <v>0.2</v>
      </c>
    </row>
    <row r="429" spans="1:19" x14ac:dyDescent="0.3">
      <c r="A429">
        <v>10428</v>
      </c>
      <c r="B429" s="1" t="s">
        <v>477</v>
      </c>
      <c r="C429" t="s">
        <v>422</v>
      </c>
      <c r="D429" t="s">
        <v>23</v>
      </c>
      <c r="E429" t="s">
        <v>24</v>
      </c>
      <c r="F429" t="s">
        <v>31</v>
      </c>
      <c r="G429" t="s">
        <v>124</v>
      </c>
      <c r="H429" t="s">
        <v>125</v>
      </c>
      <c r="I429">
        <v>8</v>
      </c>
      <c r="J429">
        <v>6760.8</v>
      </c>
      <c r="K429">
        <v>938.73</v>
      </c>
      <c r="L429">
        <v>10</v>
      </c>
      <c r="M429" t="s">
        <v>28</v>
      </c>
      <c r="N429" t="str">
        <f>TEXT(Table1[[#This Row],[Order Date]],"MMMM")</f>
        <v>September</v>
      </c>
      <c r="O429">
        <f>YEAR(Table1[[#This Row],[Order Date]])</f>
        <v>2025</v>
      </c>
      <c r="P429" t="str">
        <f>"Q"&amp;ROUNDUP(MONTH(Table1[[#This Row],[Order Date]])/3,0)</f>
        <v>Q3</v>
      </c>
      <c r="Q429" s="3">
        <f>Table1[[#This Row],[Profit]]/Table1[[#This Row],[Sales]]</f>
        <v>0.13884895278665246</v>
      </c>
      <c r="R429" t="str">
        <f>IF(Table1[[#This Row],[Sales]]&lt;1000,"LOW",IF(Table1[[#This Row],[Sales]]&lt;5000,"MEDIUM","HIGH"))</f>
        <v>HIGH</v>
      </c>
      <c r="S429" s="2">
        <f>Table1[[#This Row],[Discount]]/100</f>
        <v>0.1</v>
      </c>
    </row>
    <row r="430" spans="1:19" x14ac:dyDescent="0.3">
      <c r="A430">
        <v>10429</v>
      </c>
      <c r="B430" s="1" t="s">
        <v>478</v>
      </c>
      <c r="C430" t="s">
        <v>428</v>
      </c>
      <c r="D430" t="s">
        <v>15</v>
      </c>
      <c r="E430" t="s">
        <v>16</v>
      </c>
      <c r="F430" t="s">
        <v>31</v>
      </c>
      <c r="G430" t="s">
        <v>32</v>
      </c>
      <c r="H430" t="s">
        <v>33</v>
      </c>
      <c r="I430">
        <v>4</v>
      </c>
      <c r="J430">
        <v>5500</v>
      </c>
      <c r="K430">
        <v>1446.62</v>
      </c>
      <c r="L430">
        <v>0</v>
      </c>
      <c r="M430" t="s">
        <v>28</v>
      </c>
      <c r="N430" t="str">
        <f>TEXT(Table1[[#This Row],[Order Date]],"MMMM")</f>
        <v>November</v>
      </c>
      <c r="O430">
        <f>YEAR(Table1[[#This Row],[Order Date]])</f>
        <v>2025</v>
      </c>
      <c r="P430" t="str">
        <f>"Q"&amp;ROUNDUP(MONTH(Table1[[#This Row],[Order Date]])/3,0)</f>
        <v>Q4</v>
      </c>
      <c r="Q430" s="3">
        <f>Table1[[#This Row],[Profit]]/Table1[[#This Row],[Sales]]</f>
        <v>0.26302181818181813</v>
      </c>
      <c r="R430" t="str">
        <f>IF(Table1[[#This Row],[Sales]]&lt;1000,"LOW",IF(Table1[[#This Row],[Sales]]&lt;5000,"MEDIUM","HIGH"))</f>
        <v>HIGH</v>
      </c>
      <c r="S430" s="2">
        <f>Table1[[#This Row],[Discount]]/100</f>
        <v>0</v>
      </c>
    </row>
    <row r="431" spans="1:19" x14ac:dyDescent="0.3">
      <c r="A431">
        <v>10430</v>
      </c>
      <c r="B431" s="1" t="s">
        <v>69</v>
      </c>
      <c r="C431" t="s">
        <v>349</v>
      </c>
      <c r="D431" t="s">
        <v>15</v>
      </c>
      <c r="E431" t="s">
        <v>16</v>
      </c>
      <c r="F431" t="s">
        <v>25</v>
      </c>
      <c r="G431" t="s">
        <v>26</v>
      </c>
      <c r="H431" t="s">
        <v>71</v>
      </c>
      <c r="I431">
        <v>6</v>
      </c>
      <c r="J431">
        <v>2203.1999999999998</v>
      </c>
      <c r="K431">
        <v>290.01</v>
      </c>
      <c r="L431">
        <v>15</v>
      </c>
      <c r="M431" t="s">
        <v>45</v>
      </c>
      <c r="N431" t="str">
        <f>TEXT(Table1[[#This Row],[Order Date]],"MMMM")</f>
        <v>January</v>
      </c>
      <c r="O431">
        <f>YEAR(Table1[[#This Row],[Order Date]])</f>
        <v>2025</v>
      </c>
      <c r="P431" t="str">
        <f>"Q"&amp;ROUNDUP(MONTH(Table1[[#This Row],[Order Date]])/3,0)</f>
        <v>Q1</v>
      </c>
      <c r="Q431" s="3">
        <f>Table1[[#This Row],[Profit]]/Table1[[#This Row],[Sales]]</f>
        <v>0.13163126361655775</v>
      </c>
      <c r="R431" t="str">
        <f>IF(Table1[[#This Row],[Sales]]&lt;1000,"LOW",IF(Table1[[#This Row],[Sales]]&lt;5000,"MEDIUM","HIGH"))</f>
        <v>MEDIUM</v>
      </c>
      <c r="S431" s="2">
        <f>Table1[[#This Row],[Discount]]/100</f>
        <v>0.15</v>
      </c>
    </row>
    <row r="432" spans="1:19" x14ac:dyDescent="0.3">
      <c r="A432">
        <v>10431</v>
      </c>
      <c r="B432" s="1" t="s">
        <v>270</v>
      </c>
      <c r="C432" t="s">
        <v>311</v>
      </c>
      <c r="D432" t="s">
        <v>36</v>
      </c>
      <c r="E432" t="s">
        <v>37</v>
      </c>
      <c r="F432" t="s">
        <v>17</v>
      </c>
      <c r="G432" t="s">
        <v>18</v>
      </c>
      <c r="H432" t="s">
        <v>19</v>
      </c>
      <c r="I432">
        <v>3</v>
      </c>
      <c r="J432">
        <v>10142.4</v>
      </c>
      <c r="K432">
        <v>2827.06</v>
      </c>
      <c r="L432">
        <v>20</v>
      </c>
      <c r="M432" t="s">
        <v>40</v>
      </c>
      <c r="N432" t="str">
        <f>TEXT(Table1[[#This Row],[Order Date]],"MMMM")</f>
        <v>September</v>
      </c>
      <c r="O432">
        <f>YEAR(Table1[[#This Row],[Order Date]])</f>
        <v>2025</v>
      </c>
      <c r="P432" t="str">
        <f>"Q"&amp;ROUNDUP(MONTH(Table1[[#This Row],[Order Date]])/3,0)</f>
        <v>Q3</v>
      </c>
      <c r="Q432" s="3">
        <f>Table1[[#This Row],[Profit]]/Table1[[#This Row],[Sales]]</f>
        <v>0.27873678813693015</v>
      </c>
      <c r="R432" t="str">
        <f>IF(Table1[[#This Row],[Sales]]&lt;1000,"LOW",IF(Table1[[#This Row],[Sales]]&lt;5000,"MEDIUM","HIGH"))</f>
        <v>HIGH</v>
      </c>
      <c r="S432" s="2">
        <f>Table1[[#This Row],[Discount]]/100</f>
        <v>0.2</v>
      </c>
    </row>
    <row r="433" spans="1:19" x14ac:dyDescent="0.3">
      <c r="A433">
        <v>10432</v>
      </c>
      <c r="B433" s="1" t="s">
        <v>477</v>
      </c>
      <c r="C433" t="s">
        <v>479</v>
      </c>
      <c r="D433" t="s">
        <v>60</v>
      </c>
      <c r="E433" t="s">
        <v>61</v>
      </c>
      <c r="F433" t="s">
        <v>31</v>
      </c>
      <c r="G433" t="s">
        <v>124</v>
      </c>
      <c r="H433" t="s">
        <v>125</v>
      </c>
      <c r="I433">
        <v>8</v>
      </c>
      <c r="J433">
        <v>10389.6</v>
      </c>
      <c r="K433">
        <v>2539.98</v>
      </c>
      <c r="L433">
        <v>10</v>
      </c>
      <c r="M433" t="s">
        <v>49</v>
      </c>
      <c r="N433" t="str">
        <f>TEXT(Table1[[#This Row],[Order Date]],"MMMM")</f>
        <v>September</v>
      </c>
      <c r="O433">
        <f>YEAR(Table1[[#This Row],[Order Date]])</f>
        <v>2025</v>
      </c>
      <c r="P433" t="str">
        <f>"Q"&amp;ROUNDUP(MONTH(Table1[[#This Row],[Order Date]])/3,0)</f>
        <v>Q3</v>
      </c>
      <c r="Q433" s="3">
        <f>Table1[[#This Row],[Profit]]/Table1[[#This Row],[Sales]]</f>
        <v>0.24447331947331946</v>
      </c>
      <c r="R433" t="str">
        <f>IF(Table1[[#This Row],[Sales]]&lt;1000,"LOW",IF(Table1[[#This Row],[Sales]]&lt;5000,"MEDIUM","HIGH"))</f>
        <v>HIGH</v>
      </c>
      <c r="S433" s="2">
        <f>Table1[[#This Row],[Discount]]/100</f>
        <v>0.1</v>
      </c>
    </row>
    <row r="434" spans="1:19" x14ac:dyDescent="0.3">
      <c r="A434">
        <v>10433</v>
      </c>
      <c r="B434" s="1" t="s">
        <v>431</v>
      </c>
      <c r="C434" t="s">
        <v>68</v>
      </c>
      <c r="D434" t="s">
        <v>15</v>
      </c>
      <c r="E434" t="s">
        <v>16</v>
      </c>
      <c r="F434" t="s">
        <v>31</v>
      </c>
      <c r="G434" t="s">
        <v>89</v>
      </c>
      <c r="H434" t="s">
        <v>90</v>
      </c>
      <c r="I434">
        <v>1</v>
      </c>
      <c r="J434">
        <v>1972.8</v>
      </c>
      <c r="K434">
        <v>580.76</v>
      </c>
      <c r="L434">
        <v>10</v>
      </c>
      <c r="M434" t="s">
        <v>49</v>
      </c>
      <c r="N434" t="str">
        <f>TEXT(Table1[[#This Row],[Order Date]],"MMMM")</f>
        <v>November</v>
      </c>
      <c r="O434">
        <f>YEAR(Table1[[#This Row],[Order Date]])</f>
        <v>2025</v>
      </c>
      <c r="P434" t="str">
        <f>"Q"&amp;ROUNDUP(MONTH(Table1[[#This Row],[Order Date]])/3,0)</f>
        <v>Q4</v>
      </c>
      <c r="Q434" s="3">
        <f>Table1[[#This Row],[Profit]]/Table1[[#This Row],[Sales]]</f>
        <v>0.29438361719383616</v>
      </c>
      <c r="R434" t="str">
        <f>IF(Table1[[#This Row],[Sales]]&lt;1000,"LOW",IF(Table1[[#This Row],[Sales]]&lt;5000,"MEDIUM","HIGH"))</f>
        <v>MEDIUM</v>
      </c>
      <c r="S434" s="2">
        <f>Table1[[#This Row],[Discount]]/100</f>
        <v>0.1</v>
      </c>
    </row>
    <row r="435" spans="1:19" x14ac:dyDescent="0.3">
      <c r="A435">
        <v>10434</v>
      </c>
      <c r="B435" s="1" t="s">
        <v>245</v>
      </c>
      <c r="C435" t="s">
        <v>364</v>
      </c>
      <c r="D435" t="s">
        <v>23</v>
      </c>
      <c r="E435" t="s">
        <v>24</v>
      </c>
      <c r="F435" t="s">
        <v>25</v>
      </c>
      <c r="G435" t="s">
        <v>26</v>
      </c>
      <c r="H435" t="s">
        <v>71</v>
      </c>
      <c r="I435">
        <v>5</v>
      </c>
      <c r="J435">
        <v>17140.5</v>
      </c>
      <c r="K435">
        <v>5140.82</v>
      </c>
      <c r="L435">
        <v>10</v>
      </c>
      <c r="M435" t="s">
        <v>45</v>
      </c>
      <c r="N435" t="str">
        <f>TEXT(Table1[[#This Row],[Order Date]],"MMMM")</f>
        <v>March</v>
      </c>
      <c r="O435">
        <f>YEAR(Table1[[#This Row],[Order Date]])</f>
        <v>2025</v>
      </c>
      <c r="P435" t="str">
        <f>"Q"&amp;ROUNDUP(MONTH(Table1[[#This Row],[Order Date]])/3,0)</f>
        <v>Q1</v>
      </c>
      <c r="Q435" s="3">
        <f>Table1[[#This Row],[Profit]]/Table1[[#This Row],[Sales]]</f>
        <v>0.29992240599749131</v>
      </c>
      <c r="R435" t="str">
        <f>IF(Table1[[#This Row],[Sales]]&lt;1000,"LOW",IF(Table1[[#This Row],[Sales]]&lt;5000,"MEDIUM","HIGH"))</f>
        <v>HIGH</v>
      </c>
      <c r="S435" s="2">
        <f>Table1[[#This Row],[Discount]]/100</f>
        <v>0.1</v>
      </c>
    </row>
    <row r="436" spans="1:19" x14ac:dyDescent="0.3">
      <c r="A436">
        <v>10435</v>
      </c>
      <c r="B436" s="1" t="s">
        <v>97</v>
      </c>
      <c r="C436" t="s">
        <v>47</v>
      </c>
      <c r="D436" t="s">
        <v>74</v>
      </c>
      <c r="E436" t="s">
        <v>74</v>
      </c>
      <c r="F436" t="s">
        <v>17</v>
      </c>
      <c r="G436" t="s">
        <v>75</v>
      </c>
      <c r="H436" t="s">
        <v>116</v>
      </c>
      <c r="I436">
        <v>1</v>
      </c>
      <c r="J436">
        <v>779.4</v>
      </c>
      <c r="K436">
        <v>66.989999999999995</v>
      </c>
      <c r="L436">
        <v>10</v>
      </c>
      <c r="M436" t="s">
        <v>49</v>
      </c>
      <c r="N436" t="str">
        <f>TEXT(Table1[[#This Row],[Order Date]],"MMMM")</f>
        <v>May</v>
      </c>
      <c r="O436">
        <f>YEAR(Table1[[#This Row],[Order Date]])</f>
        <v>2025</v>
      </c>
      <c r="P436" t="str">
        <f>"Q"&amp;ROUNDUP(MONTH(Table1[[#This Row],[Order Date]])/3,0)</f>
        <v>Q2</v>
      </c>
      <c r="Q436" s="3">
        <f>Table1[[#This Row],[Profit]]/Table1[[#This Row],[Sales]]</f>
        <v>8.5950731331793678E-2</v>
      </c>
      <c r="R436" t="str">
        <f>IF(Table1[[#This Row],[Sales]]&lt;1000,"LOW",IF(Table1[[#This Row],[Sales]]&lt;5000,"MEDIUM","HIGH"))</f>
        <v>LOW</v>
      </c>
      <c r="S436" s="2">
        <f>Table1[[#This Row],[Discount]]/100</f>
        <v>0.1</v>
      </c>
    </row>
    <row r="437" spans="1:19" x14ac:dyDescent="0.3">
      <c r="A437">
        <v>10436</v>
      </c>
      <c r="B437" s="1" t="s">
        <v>344</v>
      </c>
      <c r="C437" t="s">
        <v>328</v>
      </c>
      <c r="D437" t="s">
        <v>52</v>
      </c>
      <c r="E437" t="s">
        <v>53</v>
      </c>
      <c r="F437" t="s">
        <v>31</v>
      </c>
      <c r="G437" t="s">
        <v>89</v>
      </c>
      <c r="H437" t="s">
        <v>90</v>
      </c>
      <c r="I437">
        <v>4</v>
      </c>
      <c r="J437">
        <v>9785.2000000000007</v>
      </c>
      <c r="K437">
        <v>2594.94</v>
      </c>
      <c r="L437">
        <v>15</v>
      </c>
      <c r="M437" t="s">
        <v>49</v>
      </c>
      <c r="N437" t="str">
        <f>TEXT(Table1[[#This Row],[Order Date]],"MMMM")</f>
        <v>July</v>
      </c>
      <c r="O437">
        <f>YEAR(Table1[[#This Row],[Order Date]])</f>
        <v>2025</v>
      </c>
      <c r="P437" t="str">
        <f>"Q"&amp;ROUNDUP(MONTH(Table1[[#This Row],[Order Date]])/3,0)</f>
        <v>Q3</v>
      </c>
      <c r="Q437" s="3">
        <f>Table1[[#This Row],[Profit]]/Table1[[#This Row],[Sales]]</f>
        <v>0.26519028737276701</v>
      </c>
      <c r="R437" t="str">
        <f>IF(Table1[[#This Row],[Sales]]&lt;1000,"LOW",IF(Table1[[#This Row],[Sales]]&lt;5000,"MEDIUM","HIGH"))</f>
        <v>HIGH</v>
      </c>
      <c r="S437" s="2">
        <f>Table1[[#This Row],[Discount]]/100</f>
        <v>0.15</v>
      </c>
    </row>
    <row r="438" spans="1:19" x14ac:dyDescent="0.3">
      <c r="A438">
        <v>10437</v>
      </c>
      <c r="B438" s="1" t="s">
        <v>421</v>
      </c>
      <c r="C438" t="s">
        <v>480</v>
      </c>
      <c r="D438" t="s">
        <v>52</v>
      </c>
      <c r="E438" t="s">
        <v>53</v>
      </c>
      <c r="F438" t="s">
        <v>17</v>
      </c>
      <c r="G438" t="s">
        <v>75</v>
      </c>
      <c r="H438" t="s">
        <v>76</v>
      </c>
      <c r="I438">
        <v>5</v>
      </c>
      <c r="J438">
        <v>14560</v>
      </c>
      <c r="K438">
        <v>3154.23</v>
      </c>
      <c r="L438">
        <v>20</v>
      </c>
      <c r="M438" t="s">
        <v>28</v>
      </c>
      <c r="N438" t="str">
        <f>TEXT(Table1[[#This Row],[Order Date]],"MMMM")</f>
        <v>April</v>
      </c>
      <c r="O438">
        <f>YEAR(Table1[[#This Row],[Order Date]])</f>
        <v>2025</v>
      </c>
      <c r="P438" t="str">
        <f>"Q"&amp;ROUNDUP(MONTH(Table1[[#This Row],[Order Date]])/3,0)</f>
        <v>Q2</v>
      </c>
      <c r="Q438" s="3">
        <f>Table1[[#This Row],[Profit]]/Table1[[#This Row],[Sales]]</f>
        <v>0.21663667582417581</v>
      </c>
      <c r="R438" t="str">
        <f>IF(Table1[[#This Row],[Sales]]&lt;1000,"LOW",IF(Table1[[#This Row],[Sales]]&lt;5000,"MEDIUM","HIGH"))</f>
        <v>HIGH</v>
      </c>
      <c r="S438" s="2">
        <f>Table1[[#This Row],[Discount]]/100</f>
        <v>0.2</v>
      </c>
    </row>
    <row r="439" spans="1:19" x14ac:dyDescent="0.3">
      <c r="A439">
        <v>10438</v>
      </c>
      <c r="B439" s="1" t="s">
        <v>226</v>
      </c>
      <c r="C439" t="s">
        <v>481</v>
      </c>
      <c r="D439" t="s">
        <v>74</v>
      </c>
      <c r="E439" t="s">
        <v>74</v>
      </c>
      <c r="F439" t="s">
        <v>25</v>
      </c>
      <c r="G439" t="s">
        <v>26</v>
      </c>
      <c r="H439" t="s">
        <v>27</v>
      </c>
      <c r="I439">
        <v>1</v>
      </c>
      <c r="J439">
        <v>2969.9</v>
      </c>
      <c r="K439">
        <v>479.09</v>
      </c>
      <c r="L439">
        <v>15</v>
      </c>
      <c r="M439" t="s">
        <v>20</v>
      </c>
      <c r="N439" t="str">
        <f>TEXT(Table1[[#This Row],[Order Date]],"MMMM")</f>
        <v>December</v>
      </c>
      <c r="O439">
        <f>YEAR(Table1[[#This Row],[Order Date]])</f>
        <v>2025</v>
      </c>
      <c r="P439" t="str">
        <f>"Q"&amp;ROUNDUP(MONTH(Table1[[#This Row],[Order Date]])/3,0)</f>
        <v>Q4</v>
      </c>
      <c r="Q439" s="3">
        <f>Table1[[#This Row],[Profit]]/Table1[[#This Row],[Sales]]</f>
        <v>0.16131519579783829</v>
      </c>
      <c r="R439" t="str">
        <f>IF(Table1[[#This Row],[Sales]]&lt;1000,"LOW",IF(Table1[[#This Row],[Sales]]&lt;5000,"MEDIUM","HIGH"))</f>
        <v>MEDIUM</v>
      </c>
      <c r="S439" s="2">
        <f>Table1[[#This Row],[Discount]]/100</f>
        <v>0.15</v>
      </c>
    </row>
    <row r="440" spans="1:19" x14ac:dyDescent="0.3">
      <c r="A440">
        <v>10439</v>
      </c>
      <c r="B440" s="1" t="s">
        <v>482</v>
      </c>
      <c r="C440" t="s">
        <v>206</v>
      </c>
      <c r="D440" t="s">
        <v>66</v>
      </c>
      <c r="E440" t="s">
        <v>16</v>
      </c>
      <c r="F440" t="s">
        <v>17</v>
      </c>
      <c r="G440" t="s">
        <v>75</v>
      </c>
      <c r="H440" t="s">
        <v>116</v>
      </c>
      <c r="I440">
        <v>5</v>
      </c>
      <c r="J440">
        <v>16819.75</v>
      </c>
      <c r="K440">
        <v>4828.8900000000003</v>
      </c>
      <c r="L440">
        <v>5</v>
      </c>
      <c r="M440" t="s">
        <v>49</v>
      </c>
      <c r="N440" t="str">
        <f>TEXT(Table1[[#This Row],[Order Date]],"MMMM")</f>
        <v>February</v>
      </c>
      <c r="O440">
        <f>YEAR(Table1[[#This Row],[Order Date]])</f>
        <v>2025</v>
      </c>
      <c r="P440" t="str">
        <f>"Q"&amp;ROUNDUP(MONTH(Table1[[#This Row],[Order Date]])/3,0)</f>
        <v>Q1</v>
      </c>
      <c r="Q440" s="3">
        <f>Table1[[#This Row],[Profit]]/Table1[[#This Row],[Sales]]</f>
        <v>0.28709641938792196</v>
      </c>
      <c r="R440" t="str">
        <f>IF(Table1[[#This Row],[Sales]]&lt;1000,"LOW",IF(Table1[[#This Row],[Sales]]&lt;5000,"MEDIUM","HIGH"))</f>
        <v>HIGH</v>
      </c>
      <c r="S440" s="2">
        <f>Table1[[#This Row],[Discount]]/100</f>
        <v>0.05</v>
      </c>
    </row>
    <row r="441" spans="1:19" x14ac:dyDescent="0.3">
      <c r="A441">
        <v>10440</v>
      </c>
      <c r="B441" s="1" t="s">
        <v>483</v>
      </c>
      <c r="C441" t="s">
        <v>206</v>
      </c>
      <c r="D441" t="s">
        <v>56</v>
      </c>
      <c r="E441" t="s">
        <v>57</v>
      </c>
      <c r="F441" t="s">
        <v>31</v>
      </c>
      <c r="G441" t="s">
        <v>38</v>
      </c>
      <c r="H441" t="s">
        <v>39</v>
      </c>
      <c r="I441">
        <v>2</v>
      </c>
      <c r="J441">
        <v>3848.4</v>
      </c>
      <c r="K441">
        <v>491.72</v>
      </c>
      <c r="L441">
        <v>10</v>
      </c>
      <c r="M441" t="s">
        <v>40</v>
      </c>
      <c r="N441" t="str">
        <f>TEXT(Table1[[#This Row],[Order Date]],"MMMM")</f>
        <v>December</v>
      </c>
      <c r="O441">
        <f>YEAR(Table1[[#This Row],[Order Date]])</f>
        <v>2025</v>
      </c>
      <c r="P441" t="str">
        <f>"Q"&amp;ROUNDUP(MONTH(Table1[[#This Row],[Order Date]])/3,0)</f>
        <v>Q4</v>
      </c>
      <c r="Q441" s="3">
        <f>Table1[[#This Row],[Profit]]/Table1[[#This Row],[Sales]]</f>
        <v>0.12777258081280532</v>
      </c>
      <c r="R441" t="str">
        <f>IF(Table1[[#This Row],[Sales]]&lt;1000,"LOW",IF(Table1[[#This Row],[Sales]]&lt;5000,"MEDIUM","HIGH"))</f>
        <v>MEDIUM</v>
      </c>
      <c r="S441" s="2">
        <f>Table1[[#This Row],[Discount]]/100</f>
        <v>0.1</v>
      </c>
    </row>
    <row r="442" spans="1:19" x14ac:dyDescent="0.3">
      <c r="A442">
        <v>10441</v>
      </c>
      <c r="B442" s="1" t="s">
        <v>242</v>
      </c>
      <c r="C442" t="s">
        <v>428</v>
      </c>
      <c r="D442" t="s">
        <v>74</v>
      </c>
      <c r="E442" t="s">
        <v>74</v>
      </c>
      <c r="F442" t="s">
        <v>17</v>
      </c>
      <c r="G442" t="s">
        <v>75</v>
      </c>
      <c r="H442" t="s">
        <v>76</v>
      </c>
      <c r="I442">
        <v>7</v>
      </c>
      <c r="J442">
        <v>32375</v>
      </c>
      <c r="K442">
        <v>3211.85</v>
      </c>
      <c r="L442">
        <v>0</v>
      </c>
      <c r="M442" t="s">
        <v>20</v>
      </c>
      <c r="N442" t="str">
        <f>TEXT(Table1[[#This Row],[Order Date]],"MMMM")</f>
        <v>November</v>
      </c>
      <c r="O442">
        <f>YEAR(Table1[[#This Row],[Order Date]])</f>
        <v>2025</v>
      </c>
      <c r="P442" t="str">
        <f>"Q"&amp;ROUNDUP(MONTH(Table1[[#This Row],[Order Date]])/3,0)</f>
        <v>Q4</v>
      </c>
      <c r="Q442" s="3">
        <f>Table1[[#This Row],[Profit]]/Table1[[#This Row],[Sales]]</f>
        <v>9.9207722007722002E-2</v>
      </c>
      <c r="R442" t="str">
        <f>IF(Table1[[#This Row],[Sales]]&lt;1000,"LOW",IF(Table1[[#This Row],[Sales]]&lt;5000,"MEDIUM","HIGH"))</f>
        <v>HIGH</v>
      </c>
      <c r="S442" s="2">
        <f>Table1[[#This Row],[Discount]]/100</f>
        <v>0</v>
      </c>
    </row>
    <row r="443" spans="1:19" x14ac:dyDescent="0.3">
      <c r="A443">
        <v>10442</v>
      </c>
      <c r="B443" s="1" t="s">
        <v>298</v>
      </c>
      <c r="C443" t="s">
        <v>251</v>
      </c>
      <c r="D443" t="s">
        <v>56</v>
      </c>
      <c r="E443" t="s">
        <v>57</v>
      </c>
      <c r="F443" t="s">
        <v>17</v>
      </c>
      <c r="G443" t="s">
        <v>75</v>
      </c>
      <c r="H443" t="s">
        <v>76</v>
      </c>
      <c r="I443">
        <v>6</v>
      </c>
      <c r="J443">
        <v>15048</v>
      </c>
      <c r="K443">
        <v>3079.62</v>
      </c>
      <c r="L443">
        <v>0</v>
      </c>
      <c r="M443" t="s">
        <v>40</v>
      </c>
      <c r="N443" t="str">
        <f>TEXT(Table1[[#This Row],[Order Date]],"MMMM")</f>
        <v>September</v>
      </c>
      <c r="O443">
        <f>YEAR(Table1[[#This Row],[Order Date]])</f>
        <v>2025</v>
      </c>
      <c r="P443" t="str">
        <f>"Q"&amp;ROUNDUP(MONTH(Table1[[#This Row],[Order Date]])/3,0)</f>
        <v>Q3</v>
      </c>
      <c r="Q443" s="3">
        <f>Table1[[#This Row],[Profit]]/Table1[[#This Row],[Sales]]</f>
        <v>0.20465311004784689</v>
      </c>
      <c r="R443" t="str">
        <f>IF(Table1[[#This Row],[Sales]]&lt;1000,"LOW",IF(Table1[[#This Row],[Sales]]&lt;5000,"MEDIUM","HIGH"))</f>
        <v>HIGH</v>
      </c>
      <c r="S443" s="2">
        <f>Table1[[#This Row],[Discount]]/100</f>
        <v>0</v>
      </c>
    </row>
    <row r="444" spans="1:19" x14ac:dyDescent="0.3">
      <c r="A444">
        <v>10443</v>
      </c>
      <c r="B444" s="1" t="s">
        <v>227</v>
      </c>
      <c r="C444" t="s">
        <v>385</v>
      </c>
      <c r="D444" t="s">
        <v>52</v>
      </c>
      <c r="E444" t="s">
        <v>53</v>
      </c>
      <c r="F444" t="s">
        <v>17</v>
      </c>
      <c r="G444" t="s">
        <v>43</v>
      </c>
      <c r="H444" t="s">
        <v>44</v>
      </c>
      <c r="I444">
        <v>3</v>
      </c>
      <c r="J444">
        <v>10133.1</v>
      </c>
      <c r="K444">
        <v>851.2</v>
      </c>
      <c r="L444">
        <v>10</v>
      </c>
      <c r="M444" t="s">
        <v>49</v>
      </c>
      <c r="N444" t="str">
        <f>TEXT(Table1[[#This Row],[Order Date]],"MMMM")</f>
        <v>October</v>
      </c>
      <c r="O444">
        <f>YEAR(Table1[[#This Row],[Order Date]])</f>
        <v>2025</v>
      </c>
      <c r="P444" t="str">
        <f>"Q"&amp;ROUNDUP(MONTH(Table1[[#This Row],[Order Date]])/3,0)</f>
        <v>Q4</v>
      </c>
      <c r="Q444" s="3">
        <f>Table1[[#This Row],[Profit]]/Table1[[#This Row],[Sales]]</f>
        <v>8.400193425506508E-2</v>
      </c>
      <c r="R444" t="str">
        <f>IF(Table1[[#This Row],[Sales]]&lt;1000,"LOW",IF(Table1[[#This Row],[Sales]]&lt;5000,"MEDIUM","HIGH"))</f>
        <v>HIGH</v>
      </c>
      <c r="S444" s="2">
        <f>Table1[[#This Row],[Discount]]/100</f>
        <v>0.1</v>
      </c>
    </row>
    <row r="445" spans="1:19" x14ac:dyDescent="0.3">
      <c r="A445">
        <v>10444</v>
      </c>
      <c r="B445" s="1" t="s">
        <v>265</v>
      </c>
      <c r="C445" t="s">
        <v>152</v>
      </c>
      <c r="D445" t="s">
        <v>36</v>
      </c>
      <c r="E445" t="s">
        <v>37</v>
      </c>
      <c r="F445" t="s">
        <v>31</v>
      </c>
      <c r="G445" t="s">
        <v>89</v>
      </c>
      <c r="H445" t="s">
        <v>90</v>
      </c>
      <c r="I445">
        <v>7</v>
      </c>
      <c r="J445">
        <v>15088.85</v>
      </c>
      <c r="K445">
        <v>2307</v>
      </c>
      <c r="L445">
        <v>5</v>
      </c>
      <c r="M445" t="s">
        <v>20</v>
      </c>
      <c r="N445" t="str">
        <f>TEXT(Table1[[#This Row],[Order Date]],"MMMM")</f>
        <v>September</v>
      </c>
      <c r="O445">
        <f>YEAR(Table1[[#This Row],[Order Date]])</f>
        <v>2025</v>
      </c>
      <c r="P445" t="str">
        <f>"Q"&amp;ROUNDUP(MONTH(Table1[[#This Row],[Order Date]])/3,0)</f>
        <v>Q3</v>
      </c>
      <c r="Q445" s="3">
        <f>Table1[[#This Row],[Profit]]/Table1[[#This Row],[Sales]]</f>
        <v>0.15289435576601265</v>
      </c>
      <c r="R445" t="str">
        <f>IF(Table1[[#This Row],[Sales]]&lt;1000,"LOW",IF(Table1[[#This Row],[Sales]]&lt;5000,"MEDIUM","HIGH"))</f>
        <v>HIGH</v>
      </c>
      <c r="S445" s="2">
        <f>Table1[[#This Row],[Discount]]/100</f>
        <v>0.05</v>
      </c>
    </row>
    <row r="446" spans="1:19" x14ac:dyDescent="0.3">
      <c r="A446">
        <v>10445</v>
      </c>
      <c r="B446" s="1" t="s">
        <v>439</v>
      </c>
      <c r="C446" t="s">
        <v>333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4</v>
      </c>
      <c r="J446">
        <v>16668</v>
      </c>
      <c r="K446">
        <v>4394.71</v>
      </c>
      <c r="L446">
        <v>10</v>
      </c>
      <c r="M446" t="s">
        <v>28</v>
      </c>
      <c r="N446" t="str">
        <f>TEXT(Table1[[#This Row],[Order Date]],"MMMM")</f>
        <v>January</v>
      </c>
      <c r="O446">
        <f>YEAR(Table1[[#This Row],[Order Date]])</f>
        <v>2025</v>
      </c>
      <c r="P446" t="str">
        <f>"Q"&amp;ROUNDUP(MONTH(Table1[[#This Row],[Order Date]])/3,0)</f>
        <v>Q1</v>
      </c>
      <c r="Q446" s="3">
        <f>Table1[[#This Row],[Profit]]/Table1[[#This Row],[Sales]]</f>
        <v>0.26366150707943364</v>
      </c>
      <c r="R446" t="str">
        <f>IF(Table1[[#This Row],[Sales]]&lt;1000,"LOW",IF(Table1[[#This Row],[Sales]]&lt;5000,"MEDIUM","HIGH"))</f>
        <v>HIGH</v>
      </c>
      <c r="S446" s="2">
        <f>Table1[[#This Row],[Discount]]/100</f>
        <v>0.1</v>
      </c>
    </row>
    <row r="447" spans="1:19" x14ac:dyDescent="0.3">
      <c r="A447">
        <v>10446</v>
      </c>
      <c r="B447" s="1" t="s">
        <v>484</v>
      </c>
      <c r="C447" t="s">
        <v>311</v>
      </c>
      <c r="D447" t="s">
        <v>52</v>
      </c>
      <c r="E447" t="s">
        <v>53</v>
      </c>
      <c r="F447" t="s">
        <v>17</v>
      </c>
      <c r="G447" t="s">
        <v>75</v>
      </c>
      <c r="H447" t="s">
        <v>116</v>
      </c>
      <c r="I447">
        <v>7</v>
      </c>
      <c r="J447">
        <v>26068</v>
      </c>
      <c r="K447">
        <v>7123.33</v>
      </c>
      <c r="L447">
        <v>5</v>
      </c>
      <c r="M447" t="s">
        <v>28</v>
      </c>
      <c r="N447" t="str">
        <f>TEXT(Table1[[#This Row],[Order Date]],"MMMM")</f>
        <v>November</v>
      </c>
      <c r="O447">
        <f>YEAR(Table1[[#This Row],[Order Date]])</f>
        <v>2025</v>
      </c>
      <c r="P447" t="str">
        <f>"Q"&amp;ROUNDUP(MONTH(Table1[[#This Row],[Order Date]])/3,0)</f>
        <v>Q4</v>
      </c>
      <c r="Q447" s="3">
        <f>Table1[[#This Row],[Profit]]/Table1[[#This Row],[Sales]]</f>
        <v>0.27325955194107721</v>
      </c>
      <c r="R447" t="str">
        <f>IF(Table1[[#This Row],[Sales]]&lt;1000,"LOW",IF(Table1[[#This Row],[Sales]]&lt;5000,"MEDIUM","HIGH"))</f>
        <v>HIGH</v>
      </c>
      <c r="S447" s="2">
        <f>Table1[[#This Row],[Discount]]/100</f>
        <v>0.05</v>
      </c>
    </row>
    <row r="448" spans="1:19" x14ac:dyDescent="0.3">
      <c r="A448">
        <v>10447</v>
      </c>
      <c r="B448" s="1" t="s">
        <v>463</v>
      </c>
      <c r="C448" t="s">
        <v>435</v>
      </c>
      <c r="D448" t="s">
        <v>23</v>
      </c>
      <c r="E448" t="s">
        <v>24</v>
      </c>
      <c r="F448" t="s">
        <v>31</v>
      </c>
      <c r="G448" t="s">
        <v>38</v>
      </c>
      <c r="H448" t="s">
        <v>39</v>
      </c>
      <c r="I448">
        <v>2</v>
      </c>
      <c r="J448">
        <v>3152</v>
      </c>
      <c r="K448">
        <v>578.28</v>
      </c>
      <c r="L448">
        <v>0</v>
      </c>
      <c r="M448" t="s">
        <v>49</v>
      </c>
      <c r="N448" t="str">
        <f>TEXT(Table1[[#This Row],[Order Date]],"MMMM")</f>
        <v>February</v>
      </c>
      <c r="O448">
        <f>YEAR(Table1[[#This Row],[Order Date]])</f>
        <v>2025</v>
      </c>
      <c r="P448" t="str">
        <f>"Q"&amp;ROUNDUP(MONTH(Table1[[#This Row],[Order Date]])/3,0)</f>
        <v>Q1</v>
      </c>
      <c r="Q448" s="3">
        <f>Table1[[#This Row],[Profit]]/Table1[[#This Row],[Sales]]</f>
        <v>0.18346446700507613</v>
      </c>
      <c r="R448" t="str">
        <f>IF(Table1[[#This Row],[Sales]]&lt;1000,"LOW",IF(Table1[[#This Row],[Sales]]&lt;5000,"MEDIUM","HIGH"))</f>
        <v>MEDIUM</v>
      </c>
      <c r="S448" s="2">
        <f>Table1[[#This Row],[Discount]]/100</f>
        <v>0</v>
      </c>
    </row>
    <row r="449" spans="1:19" x14ac:dyDescent="0.3">
      <c r="A449">
        <v>10448</v>
      </c>
      <c r="B449" s="1" t="s">
        <v>426</v>
      </c>
      <c r="C449" t="s">
        <v>111</v>
      </c>
      <c r="D449" t="s">
        <v>15</v>
      </c>
      <c r="E449" t="s">
        <v>16</v>
      </c>
      <c r="F449" t="s">
        <v>31</v>
      </c>
      <c r="G449" t="s">
        <v>124</v>
      </c>
      <c r="H449" t="s">
        <v>125</v>
      </c>
      <c r="I449">
        <v>1</v>
      </c>
      <c r="J449">
        <v>530.4</v>
      </c>
      <c r="K449">
        <v>127.91</v>
      </c>
      <c r="L449">
        <v>15</v>
      </c>
      <c r="M449" t="s">
        <v>28</v>
      </c>
      <c r="N449" t="str">
        <f>TEXT(Table1[[#This Row],[Order Date]],"MMMM")</f>
        <v>September</v>
      </c>
      <c r="O449">
        <f>YEAR(Table1[[#This Row],[Order Date]])</f>
        <v>2025</v>
      </c>
      <c r="P449" t="str">
        <f>"Q"&amp;ROUNDUP(MONTH(Table1[[#This Row],[Order Date]])/3,0)</f>
        <v>Q3</v>
      </c>
      <c r="Q449" s="3">
        <f>Table1[[#This Row],[Profit]]/Table1[[#This Row],[Sales]]</f>
        <v>0.24115761689291101</v>
      </c>
      <c r="R449" t="str">
        <f>IF(Table1[[#This Row],[Sales]]&lt;1000,"LOW",IF(Table1[[#This Row],[Sales]]&lt;5000,"MEDIUM","HIGH"))</f>
        <v>LOW</v>
      </c>
      <c r="S449" s="2">
        <f>Table1[[#This Row],[Discount]]/100</f>
        <v>0.15</v>
      </c>
    </row>
    <row r="450" spans="1:19" x14ac:dyDescent="0.3">
      <c r="A450">
        <v>10449</v>
      </c>
      <c r="B450" s="1" t="s">
        <v>474</v>
      </c>
      <c r="C450" t="s">
        <v>105</v>
      </c>
      <c r="D450" t="s">
        <v>52</v>
      </c>
      <c r="E450" t="s">
        <v>53</v>
      </c>
      <c r="F450" t="s">
        <v>25</v>
      </c>
      <c r="G450" t="s">
        <v>26</v>
      </c>
      <c r="H450" t="s">
        <v>27</v>
      </c>
      <c r="I450">
        <v>1</v>
      </c>
      <c r="J450">
        <v>1550.4</v>
      </c>
      <c r="K450">
        <v>239.28</v>
      </c>
      <c r="L450">
        <v>20</v>
      </c>
      <c r="M450" t="s">
        <v>49</v>
      </c>
      <c r="N450" t="str">
        <f>TEXT(Table1[[#This Row],[Order Date]],"MMMM")</f>
        <v>March</v>
      </c>
      <c r="O450">
        <f>YEAR(Table1[[#This Row],[Order Date]])</f>
        <v>2025</v>
      </c>
      <c r="P450" t="str">
        <f>"Q"&amp;ROUNDUP(MONTH(Table1[[#This Row],[Order Date]])/3,0)</f>
        <v>Q1</v>
      </c>
      <c r="Q450" s="3">
        <f>Table1[[#This Row],[Profit]]/Table1[[#This Row],[Sales]]</f>
        <v>0.15433436532507738</v>
      </c>
      <c r="R450" t="str">
        <f>IF(Table1[[#This Row],[Sales]]&lt;1000,"LOW",IF(Table1[[#This Row],[Sales]]&lt;5000,"MEDIUM","HIGH"))</f>
        <v>MEDIUM</v>
      </c>
      <c r="S450" s="2">
        <f>Table1[[#This Row],[Discount]]/100</f>
        <v>0.2</v>
      </c>
    </row>
    <row r="451" spans="1:19" x14ac:dyDescent="0.3">
      <c r="A451">
        <v>10450</v>
      </c>
      <c r="B451" s="1" t="s">
        <v>122</v>
      </c>
      <c r="C451" t="s">
        <v>212</v>
      </c>
      <c r="D451" t="s">
        <v>60</v>
      </c>
      <c r="E451" t="s">
        <v>61</v>
      </c>
      <c r="F451" t="s">
        <v>31</v>
      </c>
      <c r="G451" t="s">
        <v>38</v>
      </c>
      <c r="H451" t="s">
        <v>39</v>
      </c>
      <c r="I451">
        <v>3</v>
      </c>
      <c r="J451">
        <v>6432</v>
      </c>
      <c r="K451">
        <v>1784.62</v>
      </c>
      <c r="L451">
        <v>0</v>
      </c>
      <c r="M451" t="s">
        <v>20</v>
      </c>
      <c r="N451" t="str">
        <f>TEXT(Table1[[#This Row],[Order Date]],"MMMM")</f>
        <v>September</v>
      </c>
      <c r="O451">
        <f>YEAR(Table1[[#This Row],[Order Date]])</f>
        <v>2025</v>
      </c>
      <c r="P451" t="str">
        <f>"Q"&amp;ROUNDUP(MONTH(Table1[[#This Row],[Order Date]])/3,0)</f>
        <v>Q3</v>
      </c>
      <c r="Q451" s="3">
        <f>Table1[[#This Row],[Profit]]/Table1[[#This Row],[Sales]]</f>
        <v>0.27745957711442787</v>
      </c>
      <c r="R451" t="str">
        <f>IF(Table1[[#This Row],[Sales]]&lt;1000,"LOW",IF(Table1[[#This Row],[Sales]]&lt;5000,"MEDIUM","HIGH"))</f>
        <v>HIGH</v>
      </c>
      <c r="S451" s="2">
        <f>Table1[[#This Row],[Discount]]/100</f>
        <v>0</v>
      </c>
    </row>
    <row r="452" spans="1:19" x14ac:dyDescent="0.3">
      <c r="A452">
        <v>10451</v>
      </c>
      <c r="B452" s="1" t="s">
        <v>485</v>
      </c>
      <c r="C452" t="s">
        <v>184</v>
      </c>
      <c r="D452" t="s">
        <v>36</v>
      </c>
      <c r="E452" t="s">
        <v>37</v>
      </c>
      <c r="F452" t="s">
        <v>17</v>
      </c>
      <c r="G452" t="s">
        <v>75</v>
      </c>
      <c r="H452" t="s">
        <v>116</v>
      </c>
      <c r="I452">
        <v>1</v>
      </c>
      <c r="J452">
        <v>591.6</v>
      </c>
      <c r="K452">
        <v>122.4</v>
      </c>
      <c r="L452">
        <v>15</v>
      </c>
      <c r="M452" t="s">
        <v>28</v>
      </c>
      <c r="N452" t="str">
        <f>TEXT(Table1[[#This Row],[Order Date]],"MMMM")</f>
        <v>November</v>
      </c>
      <c r="O452">
        <f>YEAR(Table1[[#This Row],[Order Date]])</f>
        <v>2025</v>
      </c>
      <c r="P452" t="str">
        <f>"Q"&amp;ROUNDUP(MONTH(Table1[[#This Row],[Order Date]])/3,0)</f>
        <v>Q4</v>
      </c>
      <c r="Q452" s="3">
        <f>Table1[[#This Row],[Profit]]/Table1[[#This Row],[Sales]]</f>
        <v>0.20689655172413793</v>
      </c>
      <c r="R452" t="str">
        <f>IF(Table1[[#This Row],[Sales]]&lt;1000,"LOW",IF(Table1[[#This Row],[Sales]]&lt;5000,"MEDIUM","HIGH"))</f>
        <v>LOW</v>
      </c>
      <c r="S452" s="2">
        <f>Table1[[#This Row],[Discount]]/100</f>
        <v>0.15</v>
      </c>
    </row>
    <row r="453" spans="1:19" x14ac:dyDescent="0.3">
      <c r="A453">
        <v>10452</v>
      </c>
      <c r="B453" s="1" t="s">
        <v>58</v>
      </c>
      <c r="C453" t="s">
        <v>166</v>
      </c>
      <c r="D453" t="s">
        <v>36</v>
      </c>
      <c r="E453" t="s">
        <v>37</v>
      </c>
      <c r="F453" t="s">
        <v>31</v>
      </c>
      <c r="G453" t="s">
        <v>89</v>
      </c>
      <c r="H453" t="s">
        <v>90</v>
      </c>
      <c r="I453">
        <v>7</v>
      </c>
      <c r="J453">
        <v>17766</v>
      </c>
      <c r="K453">
        <v>4971.1899999999996</v>
      </c>
      <c r="L453">
        <v>10</v>
      </c>
      <c r="M453" t="s">
        <v>40</v>
      </c>
      <c r="N453" t="str">
        <f>TEXT(Table1[[#This Row],[Order Date]],"MMMM")</f>
        <v>February</v>
      </c>
      <c r="O453">
        <f>YEAR(Table1[[#This Row],[Order Date]])</f>
        <v>2025</v>
      </c>
      <c r="P453" t="str">
        <f>"Q"&amp;ROUNDUP(MONTH(Table1[[#This Row],[Order Date]])/3,0)</f>
        <v>Q1</v>
      </c>
      <c r="Q453" s="3">
        <f>Table1[[#This Row],[Profit]]/Table1[[#This Row],[Sales]]</f>
        <v>0.27981481481481479</v>
      </c>
      <c r="R453" t="str">
        <f>IF(Table1[[#This Row],[Sales]]&lt;1000,"LOW",IF(Table1[[#This Row],[Sales]]&lt;5000,"MEDIUM","HIGH"))</f>
        <v>HIGH</v>
      </c>
      <c r="S453" s="2">
        <f>Table1[[#This Row],[Discount]]/100</f>
        <v>0.1</v>
      </c>
    </row>
    <row r="454" spans="1:19" x14ac:dyDescent="0.3">
      <c r="A454">
        <v>10453</v>
      </c>
      <c r="B454" s="1" t="s">
        <v>486</v>
      </c>
      <c r="C454" t="s">
        <v>258</v>
      </c>
      <c r="D454" t="s">
        <v>66</v>
      </c>
      <c r="E454" t="s">
        <v>16</v>
      </c>
      <c r="F454" t="s">
        <v>17</v>
      </c>
      <c r="G454" t="s">
        <v>75</v>
      </c>
      <c r="H454" t="s">
        <v>76</v>
      </c>
      <c r="I454">
        <v>7</v>
      </c>
      <c r="J454">
        <v>6136.2</v>
      </c>
      <c r="K454">
        <v>683.32</v>
      </c>
      <c r="L454">
        <v>10</v>
      </c>
      <c r="M454" t="s">
        <v>40</v>
      </c>
      <c r="N454" t="str">
        <f>TEXT(Table1[[#This Row],[Order Date]],"MMMM")</f>
        <v>November</v>
      </c>
      <c r="O454">
        <f>YEAR(Table1[[#This Row],[Order Date]])</f>
        <v>2025</v>
      </c>
      <c r="P454" t="str">
        <f>"Q"&amp;ROUNDUP(MONTH(Table1[[#This Row],[Order Date]])/3,0)</f>
        <v>Q4</v>
      </c>
      <c r="Q454" s="3">
        <f>Table1[[#This Row],[Profit]]/Table1[[#This Row],[Sales]]</f>
        <v>0.11135882142042307</v>
      </c>
      <c r="R454" t="str">
        <f>IF(Table1[[#This Row],[Sales]]&lt;1000,"LOW",IF(Table1[[#This Row],[Sales]]&lt;5000,"MEDIUM","HIGH"))</f>
        <v>HIGH</v>
      </c>
      <c r="S454" s="2">
        <f>Table1[[#This Row],[Discount]]/100</f>
        <v>0.1</v>
      </c>
    </row>
    <row r="455" spans="1:19" x14ac:dyDescent="0.3">
      <c r="A455">
        <v>10454</v>
      </c>
      <c r="B455" s="1" t="s">
        <v>449</v>
      </c>
      <c r="C455" t="s">
        <v>201</v>
      </c>
      <c r="D455" t="s">
        <v>60</v>
      </c>
      <c r="E455" t="s">
        <v>61</v>
      </c>
      <c r="F455" t="s">
        <v>17</v>
      </c>
      <c r="G455" t="s">
        <v>75</v>
      </c>
      <c r="H455" t="s">
        <v>116</v>
      </c>
      <c r="I455">
        <v>6</v>
      </c>
      <c r="J455">
        <v>17538.900000000001</v>
      </c>
      <c r="K455">
        <v>2829.06</v>
      </c>
      <c r="L455">
        <v>15</v>
      </c>
      <c r="M455" t="s">
        <v>28</v>
      </c>
      <c r="N455" t="str">
        <f>TEXT(Table1[[#This Row],[Order Date]],"MMMM")</f>
        <v>January</v>
      </c>
      <c r="O455">
        <f>YEAR(Table1[[#This Row],[Order Date]])</f>
        <v>2025</v>
      </c>
      <c r="P455" t="str">
        <f>"Q"&amp;ROUNDUP(MONTH(Table1[[#This Row],[Order Date]])/3,0)</f>
        <v>Q1</v>
      </c>
      <c r="Q455" s="3">
        <f>Table1[[#This Row],[Profit]]/Table1[[#This Row],[Sales]]</f>
        <v>0.16130202008107691</v>
      </c>
      <c r="R455" t="str">
        <f>IF(Table1[[#This Row],[Sales]]&lt;1000,"LOW",IF(Table1[[#This Row],[Sales]]&lt;5000,"MEDIUM","HIGH"))</f>
        <v>HIGH</v>
      </c>
      <c r="S455" s="2">
        <f>Table1[[#This Row],[Discount]]/100</f>
        <v>0.15</v>
      </c>
    </row>
    <row r="456" spans="1:19" x14ac:dyDescent="0.3">
      <c r="A456">
        <v>10455</v>
      </c>
      <c r="B456" s="1" t="s">
        <v>487</v>
      </c>
      <c r="C456" t="s">
        <v>488</v>
      </c>
      <c r="D456" t="s">
        <v>36</v>
      </c>
      <c r="E456" t="s">
        <v>37</v>
      </c>
      <c r="F456" t="s">
        <v>25</v>
      </c>
      <c r="G456" t="s">
        <v>26</v>
      </c>
      <c r="H456" t="s">
        <v>71</v>
      </c>
      <c r="I456">
        <v>6</v>
      </c>
      <c r="J456">
        <v>2634</v>
      </c>
      <c r="K456">
        <v>425.54</v>
      </c>
      <c r="L456">
        <v>0</v>
      </c>
      <c r="M456" t="s">
        <v>28</v>
      </c>
      <c r="N456" t="str">
        <f>TEXT(Table1[[#This Row],[Order Date]],"MMMM")</f>
        <v>May</v>
      </c>
      <c r="O456">
        <f>YEAR(Table1[[#This Row],[Order Date]])</f>
        <v>2025</v>
      </c>
      <c r="P456" t="str">
        <f>"Q"&amp;ROUNDUP(MONTH(Table1[[#This Row],[Order Date]])/3,0)</f>
        <v>Q2</v>
      </c>
      <c r="Q456" s="3">
        <f>Table1[[#This Row],[Profit]]/Table1[[#This Row],[Sales]]</f>
        <v>0.16155656795747914</v>
      </c>
      <c r="R456" t="str">
        <f>IF(Table1[[#This Row],[Sales]]&lt;1000,"LOW",IF(Table1[[#This Row],[Sales]]&lt;5000,"MEDIUM","HIGH"))</f>
        <v>MEDIUM</v>
      </c>
      <c r="S456" s="2">
        <f>Table1[[#This Row],[Discount]]/100</f>
        <v>0</v>
      </c>
    </row>
    <row r="457" spans="1:19" x14ac:dyDescent="0.3">
      <c r="A457">
        <v>10456</v>
      </c>
      <c r="B457" s="1" t="s">
        <v>350</v>
      </c>
      <c r="C457" t="s">
        <v>397</v>
      </c>
      <c r="D457" t="s">
        <v>66</v>
      </c>
      <c r="E457" t="s">
        <v>16</v>
      </c>
      <c r="F457" t="s">
        <v>31</v>
      </c>
      <c r="G457" t="s">
        <v>124</v>
      </c>
      <c r="H457" t="s">
        <v>125</v>
      </c>
      <c r="I457">
        <v>8</v>
      </c>
      <c r="J457">
        <v>28814.400000000001</v>
      </c>
      <c r="K457">
        <v>2896.02</v>
      </c>
      <c r="L457">
        <v>10</v>
      </c>
      <c r="M457" t="s">
        <v>45</v>
      </c>
      <c r="N457" t="str">
        <f>TEXT(Table1[[#This Row],[Order Date]],"MMMM")</f>
        <v>August</v>
      </c>
      <c r="O457">
        <f>YEAR(Table1[[#This Row],[Order Date]])</f>
        <v>2025</v>
      </c>
      <c r="P457" t="str">
        <f>"Q"&amp;ROUNDUP(MONTH(Table1[[#This Row],[Order Date]])/3,0)</f>
        <v>Q3</v>
      </c>
      <c r="Q457" s="3">
        <f>Table1[[#This Row],[Profit]]/Table1[[#This Row],[Sales]]</f>
        <v>0.10050599700149924</v>
      </c>
      <c r="R457" t="str">
        <f>IF(Table1[[#This Row],[Sales]]&lt;1000,"LOW",IF(Table1[[#This Row],[Sales]]&lt;5000,"MEDIUM","HIGH"))</f>
        <v>HIGH</v>
      </c>
      <c r="S457" s="2">
        <f>Table1[[#This Row],[Discount]]/100</f>
        <v>0.1</v>
      </c>
    </row>
    <row r="458" spans="1:19" x14ac:dyDescent="0.3">
      <c r="A458">
        <v>10457</v>
      </c>
      <c r="B458" s="1" t="s">
        <v>427</v>
      </c>
      <c r="C458" t="s">
        <v>489</v>
      </c>
      <c r="D458" t="s">
        <v>36</v>
      </c>
      <c r="E458" t="s">
        <v>37</v>
      </c>
      <c r="F458" t="s">
        <v>17</v>
      </c>
      <c r="G458" t="s">
        <v>43</v>
      </c>
      <c r="H458" t="s">
        <v>44</v>
      </c>
      <c r="I458">
        <v>6</v>
      </c>
      <c r="J458">
        <v>28254.9</v>
      </c>
      <c r="K458">
        <v>5716.17</v>
      </c>
      <c r="L458">
        <v>5</v>
      </c>
      <c r="M458" t="s">
        <v>45</v>
      </c>
      <c r="N458" t="str">
        <f>TEXT(Table1[[#This Row],[Order Date]],"MMMM")</f>
        <v>December</v>
      </c>
      <c r="O458">
        <f>YEAR(Table1[[#This Row],[Order Date]])</f>
        <v>2025</v>
      </c>
      <c r="P458" t="str">
        <f>"Q"&amp;ROUNDUP(MONTH(Table1[[#This Row],[Order Date]])/3,0)</f>
        <v>Q4</v>
      </c>
      <c r="Q458" s="3">
        <f>Table1[[#This Row],[Profit]]/Table1[[#This Row],[Sales]]</f>
        <v>0.20230721043075714</v>
      </c>
      <c r="R458" t="str">
        <f>IF(Table1[[#This Row],[Sales]]&lt;1000,"LOW",IF(Table1[[#This Row],[Sales]]&lt;5000,"MEDIUM","HIGH"))</f>
        <v>HIGH</v>
      </c>
      <c r="S458" s="2">
        <f>Table1[[#This Row],[Discount]]/100</f>
        <v>0.05</v>
      </c>
    </row>
    <row r="459" spans="1:19" x14ac:dyDescent="0.3">
      <c r="A459">
        <v>10458</v>
      </c>
      <c r="B459" s="1" t="s">
        <v>409</v>
      </c>
      <c r="C459" t="s">
        <v>158</v>
      </c>
      <c r="D459" t="s">
        <v>52</v>
      </c>
      <c r="E459" t="s">
        <v>53</v>
      </c>
      <c r="F459" t="s">
        <v>17</v>
      </c>
      <c r="G459" t="s">
        <v>75</v>
      </c>
      <c r="H459" t="s">
        <v>116</v>
      </c>
      <c r="I459">
        <v>8</v>
      </c>
      <c r="J459">
        <v>28396.799999999999</v>
      </c>
      <c r="K459">
        <v>7394.42</v>
      </c>
      <c r="L459">
        <v>15</v>
      </c>
      <c r="M459" t="s">
        <v>49</v>
      </c>
      <c r="N459" t="str">
        <f>TEXT(Table1[[#This Row],[Order Date]],"MMMM")</f>
        <v>January</v>
      </c>
      <c r="O459">
        <f>YEAR(Table1[[#This Row],[Order Date]])</f>
        <v>2025</v>
      </c>
      <c r="P459" t="str">
        <f>"Q"&amp;ROUNDUP(MONTH(Table1[[#This Row],[Order Date]])/3,0)</f>
        <v>Q1</v>
      </c>
      <c r="Q459" s="3">
        <f>Table1[[#This Row],[Profit]]/Table1[[#This Row],[Sales]]</f>
        <v>0.26039624183006538</v>
      </c>
      <c r="R459" t="str">
        <f>IF(Table1[[#This Row],[Sales]]&lt;1000,"LOW",IF(Table1[[#This Row],[Sales]]&lt;5000,"MEDIUM","HIGH"))</f>
        <v>HIGH</v>
      </c>
      <c r="S459" s="2">
        <f>Table1[[#This Row],[Discount]]/100</f>
        <v>0.15</v>
      </c>
    </row>
    <row r="460" spans="1:19" x14ac:dyDescent="0.3">
      <c r="A460">
        <v>10459</v>
      </c>
      <c r="B460" s="1" t="s">
        <v>226</v>
      </c>
      <c r="C460" t="s">
        <v>63</v>
      </c>
      <c r="D460" t="s">
        <v>74</v>
      </c>
      <c r="E460" t="s">
        <v>74</v>
      </c>
      <c r="F460" t="s">
        <v>25</v>
      </c>
      <c r="G460" t="s">
        <v>95</v>
      </c>
      <c r="H460" t="s">
        <v>96</v>
      </c>
      <c r="I460">
        <v>4</v>
      </c>
      <c r="J460">
        <v>17732</v>
      </c>
      <c r="K460">
        <v>3341.81</v>
      </c>
      <c r="L460">
        <v>0</v>
      </c>
      <c r="M460" t="s">
        <v>40</v>
      </c>
      <c r="N460" t="str">
        <f>TEXT(Table1[[#This Row],[Order Date]],"MMMM")</f>
        <v>December</v>
      </c>
      <c r="O460">
        <f>YEAR(Table1[[#This Row],[Order Date]])</f>
        <v>2025</v>
      </c>
      <c r="P460" t="str">
        <f>"Q"&amp;ROUNDUP(MONTH(Table1[[#This Row],[Order Date]])/3,0)</f>
        <v>Q4</v>
      </c>
      <c r="Q460" s="3">
        <f>Table1[[#This Row],[Profit]]/Table1[[#This Row],[Sales]]</f>
        <v>0.1884621024137153</v>
      </c>
      <c r="R460" t="str">
        <f>IF(Table1[[#This Row],[Sales]]&lt;1000,"LOW",IF(Table1[[#This Row],[Sales]]&lt;5000,"MEDIUM","HIGH"))</f>
        <v>HIGH</v>
      </c>
      <c r="S460" s="2">
        <f>Table1[[#This Row],[Discount]]/100</f>
        <v>0</v>
      </c>
    </row>
    <row r="461" spans="1:19" x14ac:dyDescent="0.3">
      <c r="A461">
        <v>10460</v>
      </c>
      <c r="B461" s="1" t="s">
        <v>181</v>
      </c>
      <c r="C461" t="s">
        <v>80</v>
      </c>
      <c r="D461" t="s">
        <v>60</v>
      </c>
      <c r="E461" t="s">
        <v>61</v>
      </c>
      <c r="F461" t="s">
        <v>17</v>
      </c>
      <c r="G461" t="s">
        <v>75</v>
      </c>
      <c r="H461" t="s">
        <v>116</v>
      </c>
      <c r="I461">
        <v>7</v>
      </c>
      <c r="J461">
        <v>13675.2</v>
      </c>
      <c r="K461">
        <v>1433.35</v>
      </c>
      <c r="L461">
        <v>20</v>
      </c>
      <c r="M461" t="s">
        <v>40</v>
      </c>
      <c r="N461" t="str">
        <f>TEXT(Table1[[#This Row],[Order Date]],"MMMM")</f>
        <v>February</v>
      </c>
      <c r="O461">
        <f>YEAR(Table1[[#This Row],[Order Date]])</f>
        <v>2025</v>
      </c>
      <c r="P461" t="str">
        <f>"Q"&amp;ROUNDUP(MONTH(Table1[[#This Row],[Order Date]])/3,0)</f>
        <v>Q1</v>
      </c>
      <c r="Q461" s="3">
        <f>Table1[[#This Row],[Profit]]/Table1[[#This Row],[Sales]]</f>
        <v>0.10481382356382356</v>
      </c>
      <c r="R461" t="str">
        <f>IF(Table1[[#This Row],[Sales]]&lt;1000,"LOW",IF(Table1[[#This Row],[Sales]]&lt;5000,"MEDIUM","HIGH"))</f>
        <v>HIGH</v>
      </c>
      <c r="S461" s="2">
        <f>Table1[[#This Row],[Discount]]/100</f>
        <v>0.2</v>
      </c>
    </row>
    <row r="462" spans="1:19" x14ac:dyDescent="0.3">
      <c r="A462">
        <v>10461</v>
      </c>
      <c r="B462" s="1" t="s">
        <v>256</v>
      </c>
      <c r="C462" t="s">
        <v>490</v>
      </c>
      <c r="D462" t="s">
        <v>74</v>
      </c>
      <c r="E462" t="s">
        <v>74</v>
      </c>
      <c r="F462" t="s">
        <v>17</v>
      </c>
      <c r="G462" t="s">
        <v>75</v>
      </c>
      <c r="H462" t="s">
        <v>116</v>
      </c>
      <c r="I462">
        <v>8</v>
      </c>
      <c r="J462">
        <v>33428.800000000003</v>
      </c>
      <c r="K462">
        <v>9584.59</v>
      </c>
      <c r="L462">
        <v>15</v>
      </c>
      <c r="M462" t="s">
        <v>49</v>
      </c>
      <c r="N462" t="str">
        <f>TEXT(Table1[[#This Row],[Order Date]],"MMMM")</f>
        <v>January</v>
      </c>
      <c r="O462">
        <f>YEAR(Table1[[#This Row],[Order Date]])</f>
        <v>2025</v>
      </c>
      <c r="P462" t="str">
        <f>"Q"&amp;ROUNDUP(MONTH(Table1[[#This Row],[Order Date]])/3,0)</f>
        <v>Q1</v>
      </c>
      <c r="Q462" s="3">
        <f>Table1[[#This Row],[Profit]]/Table1[[#This Row],[Sales]]</f>
        <v>0.28671654381850381</v>
      </c>
      <c r="R462" t="str">
        <f>IF(Table1[[#This Row],[Sales]]&lt;1000,"LOW",IF(Table1[[#This Row],[Sales]]&lt;5000,"MEDIUM","HIGH"))</f>
        <v>HIGH</v>
      </c>
      <c r="S462" s="2">
        <f>Table1[[#This Row],[Discount]]/100</f>
        <v>0.15</v>
      </c>
    </row>
    <row r="463" spans="1:19" x14ac:dyDescent="0.3">
      <c r="A463">
        <v>10462</v>
      </c>
      <c r="B463" s="1" t="s">
        <v>491</v>
      </c>
      <c r="C463" t="s">
        <v>385</v>
      </c>
      <c r="D463" t="s">
        <v>36</v>
      </c>
      <c r="E463" t="s">
        <v>37</v>
      </c>
      <c r="F463" t="s">
        <v>25</v>
      </c>
      <c r="G463" t="s">
        <v>26</v>
      </c>
      <c r="H463" t="s">
        <v>71</v>
      </c>
      <c r="I463">
        <v>4</v>
      </c>
      <c r="J463">
        <v>12266.4</v>
      </c>
      <c r="K463">
        <v>1277.19</v>
      </c>
      <c r="L463">
        <v>5</v>
      </c>
      <c r="M463" t="s">
        <v>49</v>
      </c>
      <c r="N463" t="str">
        <f>TEXT(Table1[[#This Row],[Order Date]],"MMMM")</f>
        <v>September</v>
      </c>
      <c r="O463">
        <f>YEAR(Table1[[#This Row],[Order Date]])</f>
        <v>2025</v>
      </c>
      <c r="P463" t="str">
        <f>"Q"&amp;ROUNDUP(MONTH(Table1[[#This Row],[Order Date]])/3,0)</f>
        <v>Q3</v>
      </c>
      <c r="Q463" s="3">
        <f>Table1[[#This Row],[Profit]]/Table1[[#This Row],[Sales]]</f>
        <v>0.10412101350029349</v>
      </c>
      <c r="R463" t="str">
        <f>IF(Table1[[#This Row],[Sales]]&lt;1000,"LOW",IF(Table1[[#This Row],[Sales]]&lt;5000,"MEDIUM","HIGH"))</f>
        <v>HIGH</v>
      </c>
      <c r="S463" s="2">
        <f>Table1[[#This Row],[Discount]]/100</f>
        <v>0.05</v>
      </c>
    </row>
    <row r="464" spans="1:19" x14ac:dyDescent="0.3">
      <c r="A464">
        <v>10463</v>
      </c>
      <c r="B464" s="1" t="s">
        <v>334</v>
      </c>
      <c r="C464" t="s">
        <v>492</v>
      </c>
      <c r="D464" t="s">
        <v>56</v>
      </c>
      <c r="E464" t="s">
        <v>57</v>
      </c>
      <c r="F464" t="s">
        <v>17</v>
      </c>
      <c r="G464" t="s">
        <v>75</v>
      </c>
      <c r="H464" t="s">
        <v>116</v>
      </c>
      <c r="I464">
        <v>4</v>
      </c>
      <c r="J464">
        <v>8622.4</v>
      </c>
      <c r="K464">
        <v>733.86</v>
      </c>
      <c r="L464">
        <v>15</v>
      </c>
      <c r="M464" t="s">
        <v>45</v>
      </c>
      <c r="N464" t="str">
        <f>TEXT(Table1[[#This Row],[Order Date]],"MMMM")</f>
        <v>April</v>
      </c>
      <c r="O464">
        <f>YEAR(Table1[[#This Row],[Order Date]])</f>
        <v>2025</v>
      </c>
      <c r="P464" t="str">
        <f>"Q"&amp;ROUNDUP(MONTH(Table1[[#This Row],[Order Date]])/3,0)</f>
        <v>Q2</v>
      </c>
      <c r="Q464" s="3">
        <f>Table1[[#This Row],[Profit]]/Table1[[#This Row],[Sales]]</f>
        <v>8.5110874002597883E-2</v>
      </c>
      <c r="R464" t="str">
        <f>IF(Table1[[#This Row],[Sales]]&lt;1000,"LOW",IF(Table1[[#This Row],[Sales]]&lt;5000,"MEDIUM","HIGH"))</f>
        <v>HIGH</v>
      </c>
      <c r="S464" s="2">
        <f>Table1[[#This Row],[Discount]]/100</f>
        <v>0.15</v>
      </c>
    </row>
    <row r="465" spans="1:19" x14ac:dyDescent="0.3">
      <c r="A465">
        <v>10464</v>
      </c>
      <c r="B465" s="1" t="s">
        <v>358</v>
      </c>
      <c r="C465" t="s">
        <v>214</v>
      </c>
      <c r="D465" t="s">
        <v>74</v>
      </c>
      <c r="E465" t="s">
        <v>74</v>
      </c>
      <c r="F465" t="s">
        <v>25</v>
      </c>
      <c r="G465" t="s">
        <v>26</v>
      </c>
      <c r="H465" t="s">
        <v>71</v>
      </c>
      <c r="I465">
        <v>1</v>
      </c>
      <c r="J465">
        <v>3151.2</v>
      </c>
      <c r="K465">
        <v>386.61</v>
      </c>
      <c r="L465">
        <v>20</v>
      </c>
      <c r="M465" t="s">
        <v>49</v>
      </c>
      <c r="N465" t="str">
        <f>TEXT(Table1[[#This Row],[Order Date]],"MMMM")</f>
        <v>October</v>
      </c>
      <c r="O465">
        <f>YEAR(Table1[[#This Row],[Order Date]])</f>
        <v>2025</v>
      </c>
      <c r="P465" t="str">
        <f>"Q"&amp;ROUNDUP(MONTH(Table1[[#This Row],[Order Date]])/3,0)</f>
        <v>Q4</v>
      </c>
      <c r="Q465" s="3">
        <f>Table1[[#This Row],[Profit]]/Table1[[#This Row],[Sales]]</f>
        <v>0.1226865955826352</v>
      </c>
      <c r="R465" t="str">
        <f>IF(Table1[[#This Row],[Sales]]&lt;1000,"LOW",IF(Table1[[#This Row],[Sales]]&lt;5000,"MEDIUM","HIGH"))</f>
        <v>MEDIUM</v>
      </c>
      <c r="S465" s="2">
        <f>Table1[[#This Row],[Discount]]/100</f>
        <v>0.2</v>
      </c>
    </row>
    <row r="466" spans="1:19" x14ac:dyDescent="0.3">
      <c r="A466">
        <v>10465</v>
      </c>
      <c r="B466" s="1" t="s">
        <v>441</v>
      </c>
      <c r="C466" t="s">
        <v>367</v>
      </c>
      <c r="D466" t="s">
        <v>74</v>
      </c>
      <c r="E466" t="s">
        <v>74</v>
      </c>
      <c r="F466" t="s">
        <v>31</v>
      </c>
      <c r="G466" t="s">
        <v>38</v>
      </c>
      <c r="H466" t="s">
        <v>39</v>
      </c>
      <c r="I466">
        <v>2</v>
      </c>
      <c r="J466">
        <v>6623.4</v>
      </c>
      <c r="K466">
        <v>1214.47</v>
      </c>
      <c r="L466">
        <v>5</v>
      </c>
      <c r="M466" t="s">
        <v>28</v>
      </c>
      <c r="N466" t="str">
        <f>TEXT(Table1[[#This Row],[Order Date]],"MMMM")</f>
        <v>October</v>
      </c>
      <c r="O466">
        <f>YEAR(Table1[[#This Row],[Order Date]])</f>
        <v>2025</v>
      </c>
      <c r="P466" t="str">
        <f>"Q"&amp;ROUNDUP(MONTH(Table1[[#This Row],[Order Date]])/3,0)</f>
        <v>Q4</v>
      </c>
      <c r="Q466" s="3">
        <f>Table1[[#This Row],[Profit]]/Table1[[#This Row],[Sales]]</f>
        <v>0.18336050970800497</v>
      </c>
      <c r="R466" t="str">
        <f>IF(Table1[[#This Row],[Sales]]&lt;1000,"LOW",IF(Table1[[#This Row],[Sales]]&lt;5000,"MEDIUM","HIGH"))</f>
        <v>HIGH</v>
      </c>
      <c r="S466" s="2">
        <f>Table1[[#This Row],[Discount]]/100</f>
        <v>0.05</v>
      </c>
    </row>
    <row r="467" spans="1:19" x14ac:dyDescent="0.3">
      <c r="A467">
        <v>10466</v>
      </c>
      <c r="B467" s="1" t="s">
        <v>313</v>
      </c>
      <c r="C467" t="s">
        <v>337</v>
      </c>
      <c r="D467" t="s">
        <v>23</v>
      </c>
      <c r="E467" t="s">
        <v>24</v>
      </c>
      <c r="F467" t="s">
        <v>25</v>
      </c>
      <c r="G467" t="s">
        <v>95</v>
      </c>
      <c r="H467" t="s">
        <v>96</v>
      </c>
      <c r="I467">
        <v>4</v>
      </c>
      <c r="J467">
        <v>6397.2</v>
      </c>
      <c r="K467">
        <v>571.64</v>
      </c>
      <c r="L467">
        <v>10</v>
      </c>
      <c r="M467" t="s">
        <v>40</v>
      </c>
      <c r="N467" t="str">
        <f>TEXT(Table1[[#This Row],[Order Date]],"MMMM")</f>
        <v>November</v>
      </c>
      <c r="O467">
        <f>YEAR(Table1[[#This Row],[Order Date]])</f>
        <v>2025</v>
      </c>
      <c r="P467" t="str">
        <f>"Q"&amp;ROUNDUP(MONTH(Table1[[#This Row],[Order Date]])/3,0)</f>
        <v>Q4</v>
      </c>
      <c r="Q467" s="3">
        <f>Table1[[#This Row],[Profit]]/Table1[[#This Row],[Sales]]</f>
        <v>8.9357844056774841E-2</v>
      </c>
      <c r="R467" t="str">
        <f>IF(Table1[[#This Row],[Sales]]&lt;1000,"LOW",IF(Table1[[#This Row],[Sales]]&lt;5000,"MEDIUM","HIGH"))</f>
        <v>HIGH</v>
      </c>
      <c r="S467" s="2">
        <f>Table1[[#This Row],[Discount]]/100</f>
        <v>0.1</v>
      </c>
    </row>
    <row r="468" spans="1:19" x14ac:dyDescent="0.3">
      <c r="A468">
        <v>10467</v>
      </c>
      <c r="B468" s="1" t="s">
        <v>493</v>
      </c>
      <c r="C468" t="s">
        <v>210</v>
      </c>
      <c r="D468" t="s">
        <v>56</v>
      </c>
      <c r="E468" t="s">
        <v>57</v>
      </c>
      <c r="F468" t="s">
        <v>25</v>
      </c>
      <c r="G468" t="s">
        <v>95</v>
      </c>
      <c r="H468" t="s">
        <v>96</v>
      </c>
      <c r="I468">
        <v>5</v>
      </c>
      <c r="J468">
        <v>10710</v>
      </c>
      <c r="K468">
        <v>2289.06</v>
      </c>
      <c r="L468">
        <v>15</v>
      </c>
      <c r="M468" t="s">
        <v>20</v>
      </c>
      <c r="N468" t="str">
        <f>TEXT(Table1[[#This Row],[Order Date]],"MMMM")</f>
        <v>December</v>
      </c>
      <c r="O468">
        <f>YEAR(Table1[[#This Row],[Order Date]])</f>
        <v>2025</v>
      </c>
      <c r="P468" t="str">
        <f>"Q"&amp;ROUNDUP(MONTH(Table1[[#This Row],[Order Date]])/3,0)</f>
        <v>Q4</v>
      </c>
      <c r="Q468" s="3">
        <f>Table1[[#This Row],[Profit]]/Table1[[#This Row],[Sales]]</f>
        <v>0.21373109243697477</v>
      </c>
      <c r="R468" t="str">
        <f>IF(Table1[[#This Row],[Sales]]&lt;1000,"LOW",IF(Table1[[#This Row],[Sales]]&lt;5000,"MEDIUM","HIGH"))</f>
        <v>HIGH</v>
      </c>
      <c r="S468" s="2">
        <f>Table1[[#This Row],[Discount]]/100</f>
        <v>0.15</v>
      </c>
    </row>
    <row r="469" spans="1:19" x14ac:dyDescent="0.3">
      <c r="A469">
        <v>10468</v>
      </c>
      <c r="B469" s="1" t="s">
        <v>494</v>
      </c>
      <c r="C469" t="s">
        <v>177</v>
      </c>
      <c r="D469" t="s">
        <v>23</v>
      </c>
      <c r="E469" t="s">
        <v>24</v>
      </c>
      <c r="F469" t="s">
        <v>31</v>
      </c>
      <c r="G469" t="s">
        <v>32</v>
      </c>
      <c r="H469" t="s">
        <v>33</v>
      </c>
      <c r="I469">
        <v>8</v>
      </c>
      <c r="J469">
        <v>21950.400000000001</v>
      </c>
      <c r="K469">
        <v>2084.1799999999998</v>
      </c>
      <c r="L469">
        <v>15</v>
      </c>
      <c r="M469" t="s">
        <v>40</v>
      </c>
      <c r="N469" t="str">
        <f>TEXT(Table1[[#This Row],[Order Date]],"MMMM")</f>
        <v>August</v>
      </c>
      <c r="O469">
        <f>YEAR(Table1[[#This Row],[Order Date]])</f>
        <v>2025</v>
      </c>
      <c r="P469" t="str">
        <f>"Q"&amp;ROUNDUP(MONTH(Table1[[#This Row],[Order Date]])/3,0)</f>
        <v>Q3</v>
      </c>
      <c r="Q469" s="3">
        <f>Table1[[#This Row],[Profit]]/Table1[[#This Row],[Sales]]</f>
        <v>9.4949522559953342E-2</v>
      </c>
      <c r="R469" t="str">
        <f>IF(Table1[[#This Row],[Sales]]&lt;1000,"LOW",IF(Table1[[#This Row],[Sales]]&lt;5000,"MEDIUM","HIGH"))</f>
        <v>HIGH</v>
      </c>
      <c r="S469" s="2">
        <f>Table1[[#This Row],[Discount]]/100</f>
        <v>0.15</v>
      </c>
    </row>
    <row r="470" spans="1:19" x14ac:dyDescent="0.3">
      <c r="A470">
        <v>10469</v>
      </c>
      <c r="B470" s="1" t="s">
        <v>242</v>
      </c>
      <c r="C470" t="s">
        <v>59</v>
      </c>
      <c r="D470" t="s">
        <v>56</v>
      </c>
      <c r="E470" t="s">
        <v>57</v>
      </c>
      <c r="F470" t="s">
        <v>25</v>
      </c>
      <c r="G470" t="s">
        <v>95</v>
      </c>
      <c r="H470" t="s">
        <v>96</v>
      </c>
      <c r="I470">
        <v>3</v>
      </c>
      <c r="J470">
        <v>9160.7999999999993</v>
      </c>
      <c r="K470">
        <v>1752.35</v>
      </c>
      <c r="L470">
        <v>20</v>
      </c>
      <c r="M470" t="s">
        <v>40</v>
      </c>
      <c r="N470" t="str">
        <f>TEXT(Table1[[#This Row],[Order Date]],"MMMM")</f>
        <v>November</v>
      </c>
      <c r="O470">
        <f>YEAR(Table1[[#This Row],[Order Date]])</f>
        <v>2025</v>
      </c>
      <c r="P470" t="str">
        <f>"Q"&amp;ROUNDUP(MONTH(Table1[[#This Row],[Order Date]])/3,0)</f>
        <v>Q4</v>
      </c>
      <c r="Q470" s="3">
        <f>Table1[[#This Row],[Profit]]/Table1[[#This Row],[Sales]]</f>
        <v>0.19128787878787878</v>
      </c>
      <c r="R470" t="str">
        <f>IF(Table1[[#This Row],[Sales]]&lt;1000,"LOW",IF(Table1[[#This Row],[Sales]]&lt;5000,"MEDIUM","HIGH"))</f>
        <v>HIGH</v>
      </c>
      <c r="S470" s="2">
        <f>Table1[[#This Row],[Discount]]/100</f>
        <v>0.2</v>
      </c>
    </row>
    <row r="471" spans="1:19" x14ac:dyDescent="0.3">
      <c r="A471">
        <v>10470</v>
      </c>
      <c r="B471" s="1" t="s">
        <v>411</v>
      </c>
      <c r="C471" t="s">
        <v>228</v>
      </c>
      <c r="D471" t="s">
        <v>56</v>
      </c>
      <c r="E471" t="s">
        <v>57</v>
      </c>
      <c r="F471" t="s">
        <v>17</v>
      </c>
      <c r="G471" t="s">
        <v>75</v>
      </c>
      <c r="H471" t="s">
        <v>116</v>
      </c>
      <c r="I471">
        <v>2</v>
      </c>
      <c r="J471">
        <v>6222</v>
      </c>
      <c r="K471">
        <v>1310.1099999999999</v>
      </c>
      <c r="L471">
        <v>15</v>
      </c>
      <c r="M471" t="s">
        <v>40</v>
      </c>
      <c r="N471" t="str">
        <f>TEXT(Table1[[#This Row],[Order Date]],"MMMM")</f>
        <v>June</v>
      </c>
      <c r="O471">
        <f>YEAR(Table1[[#This Row],[Order Date]])</f>
        <v>2025</v>
      </c>
      <c r="P471" t="str">
        <f>"Q"&amp;ROUNDUP(MONTH(Table1[[#This Row],[Order Date]])/3,0)</f>
        <v>Q2</v>
      </c>
      <c r="Q471" s="3">
        <f>Table1[[#This Row],[Profit]]/Table1[[#This Row],[Sales]]</f>
        <v>0.21056091288974604</v>
      </c>
      <c r="R471" t="str">
        <f>IF(Table1[[#This Row],[Sales]]&lt;1000,"LOW",IF(Table1[[#This Row],[Sales]]&lt;5000,"MEDIUM","HIGH"))</f>
        <v>HIGH</v>
      </c>
      <c r="S471" s="2">
        <f>Table1[[#This Row],[Discount]]/100</f>
        <v>0.15</v>
      </c>
    </row>
    <row r="472" spans="1:19" x14ac:dyDescent="0.3">
      <c r="A472">
        <v>10471</v>
      </c>
      <c r="B472" s="1" t="s">
        <v>259</v>
      </c>
      <c r="C472" t="s">
        <v>168</v>
      </c>
      <c r="D472" t="s">
        <v>66</v>
      </c>
      <c r="E472" t="s">
        <v>16</v>
      </c>
      <c r="F472" t="s">
        <v>25</v>
      </c>
      <c r="G472" t="s">
        <v>95</v>
      </c>
      <c r="H472" t="s">
        <v>96</v>
      </c>
      <c r="I472">
        <v>6</v>
      </c>
      <c r="J472">
        <v>7392.9</v>
      </c>
      <c r="K472">
        <v>981.77</v>
      </c>
      <c r="L472">
        <v>5</v>
      </c>
      <c r="M472" t="s">
        <v>28</v>
      </c>
      <c r="N472" t="str">
        <f>TEXT(Table1[[#This Row],[Order Date]],"MMMM")</f>
        <v>April</v>
      </c>
      <c r="O472">
        <f>YEAR(Table1[[#This Row],[Order Date]])</f>
        <v>2025</v>
      </c>
      <c r="P472" t="str">
        <f>"Q"&amp;ROUNDUP(MONTH(Table1[[#This Row],[Order Date]])/3,0)</f>
        <v>Q2</v>
      </c>
      <c r="Q472" s="3">
        <f>Table1[[#This Row],[Profit]]/Table1[[#This Row],[Sales]]</f>
        <v>0.13279903691379566</v>
      </c>
      <c r="R472" t="str">
        <f>IF(Table1[[#This Row],[Sales]]&lt;1000,"LOW",IF(Table1[[#This Row],[Sales]]&lt;5000,"MEDIUM","HIGH"))</f>
        <v>HIGH</v>
      </c>
      <c r="S472" s="2">
        <f>Table1[[#This Row],[Discount]]/100</f>
        <v>0.05</v>
      </c>
    </row>
    <row r="473" spans="1:19" x14ac:dyDescent="0.3">
      <c r="A473">
        <v>10472</v>
      </c>
      <c r="B473" s="1" t="s">
        <v>404</v>
      </c>
      <c r="C473" t="s">
        <v>295</v>
      </c>
      <c r="D473" t="s">
        <v>52</v>
      </c>
      <c r="E473" t="s">
        <v>53</v>
      </c>
      <c r="F473" t="s">
        <v>31</v>
      </c>
      <c r="G473" t="s">
        <v>32</v>
      </c>
      <c r="H473" t="s">
        <v>33</v>
      </c>
      <c r="I473">
        <v>2</v>
      </c>
      <c r="J473">
        <v>4695.3999999999996</v>
      </c>
      <c r="K473">
        <v>981.76</v>
      </c>
      <c r="L473">
        <v>15</v>
      </c>
      <c r="M473" t="s">
        <v>49</v>
      </c>
      <c r="N473" t="str">
        <f>TEXT(Table1[[#This Row],[Order Date]],"MMMM")</f>
        <v>May</v>
      </c>
      <c r="O473">
        <f>YEAR(Table1[[#This Row],[Order Date]])</f>
        <v>2025</v>
      </c>
      <c r="P473" t="str">
        <f>"Q"&amp;ROUNDUP(MONTH(Table1[[#This Row],[Order Date]])/3,0)</f>
        <v>Q2</v>
      </c>
      <c r="Q473" s="3">
        <f>Table1[[#This Row],[Profit]]/Table1[[#This Row],[Sales]]</f>
        <v>0.20908974741236105</v>
      </c>
      <c r="R473" t="str">
        <f>IF(Table1[[#This Row],[Sales]]&lt;1000,"LOW",IF(Table1[[#This Row],[Sales]]&lt;5000,"MEDIUM","HIGH"))</f>
        <v>MEDIUM</v>
      </c>
      <c r="S473" s="2">
        <f>Table1[[#This Row],[Discount]]/100</f>
        <v>0.15</v>
      </c>
    </row>
    <row r="474" spans="1:19" x14ac:dyDescent="0.3">
      <c r="A474">
        <v>10473</v>
      </c>
      <c r="B474" s="1" t="s">
        <v>354</v>
      </c>
      <c r="C474" t="s">
        <v>364</v>
      </c>
      <c r="D474" t="s">
        <v>66</v>
      </c>
      <c r="E474" t="s">
        <v>16</v>
      </c>
      <c r="F474" t="s">
        <v>25</v>
      </c>
      <c r="G474" t="s">
        <v>26</v>
      </c>
      <c r="H474" t="s">
        <v>48</v>
      </c>
      <c r="I474">
        <v>2</v>
      </c>
      <c r="J474">
        <v>5265</v>
      </c>
      <c r="K474">
        <v>1114.18</v>
      </c>
      <c r="L474">
        <v>10</v>
      </c>
      <c r="M474" t="s">
        <v>45</v>
      </c>
      <c r="N474" t="str">
        <f>TEXT(Table1[[#This Row],[Order Date]],"MMMM")</f>
        <v>February</v>
      </c>
      <c r="O474">
        <f>YEAR(Table1[[#This Row],[Order Date]])</f>
        <v>2025</v>
      </c>
      <c r="P474" t="str">
        <f>"Q"&amp;ROUNDUP(MONTH(Table1[[#This Row],[Order Date]])/3,0)</f>
        <v>Q1</v>
      </c>
      <c r="Q474" s="3">
        <f>Table1[[#This Row],[Profit]]/Table1[[#This Row],[Sales]]</f>
        <v>0.21162013295346629</v>
      </c>
      <c r="R474" t="str">
        <f>IF(Table1[[#This Row],[Sales]]&lt;1000,"LOW",IF(Table1[[#This Row],[Sales]]&lt;5000,"MEDIUM","HIGH"))</f>
        <v>HIGH</v>
      </c>
      <c r="S474" s="2">
        <f>Table1[[#This Row],[Discount]]/100</f>
        <v>0.1</v>
      </c>
    </row>
    <row r="475" spans="1:19" x14ac:dyDescent="0.3">
      <c r="A475">
        <v>10474</v>
      </c>
      <c r="B475" s="1" t="s">
        <v>72</v>
      </c>
      <c r="C475" t="s">
        <v>495</v>
      </c>
      <c r="D475" t="s">
        <v>23</v>
      </c>
      <c r="E475" t="s">
        <v>24</v>
      </c>
      <c r="F475" t="s">
        <v>25</v>
      </c>
      <c r="G475" t="s">
        <v>26</v>
      </c>
      <c r="H475" t="s">
        <v>71</v>
      </c>
      <c r="I475">
        <v>2</v>
      </c>
      <c r="J475">
        <v>1128</v>
      </c>
      <c r="K475">
        <v>309.61</v>
      </c>
      <c r="L475">
        <v>0</v>
      </c>
      <c r="M475" t="s">
        <v>40</v>
      </c>
      <c r="N475" t="str">
        <f>TEXT(Table1[[#This Row],[Order Date]],"MMMM")</f>
        <v>March</v>
      </c>
      <c r="O475">
        <f>YEAR(Table1[[#This Row],[Order Date]])</f>
        <v>2025</v>
      </c>
      <c r="P475" t="str">
        <f>"Q"&amp;ROUNDUP(MONTH(Table1[[#This Row],[Order Date]])/3,0)</f>
        <v>Q1</v>
      </c>
      <c r="Q475" s="3">
        <f>Table1[[#This Row],[Profit]]/Table1[[#This Row],[Sales]]</f>
        <v>0.27447695035460995</v>
      </c>
      <c r="R475" t="str">
        <f>IF(Table1[[#This Row],[Sales]]&lt;1000,"LOW",IF(Table1[[#This Row],[Sales]]&lt;5000,"MEDIUM","HIGH"))</f>
        <v>MEDIUM</v>
      </c>
      <c r="S475" s="2">
        <f>Table1[[#This Row],[Discount]]/100</f>
        <v>0</v>
      </c>
    </row>
    <row r="476" spans="1:19" x14ac:dyDescent="0.3">
      <c r="A476">
        <v>10475</v>
      </c>
      <c r="B476" s="1" t="s">
        <v>496</v>
      </c>
      <c r="C476" t="s">
        <v>342</v>
      </c>
      <c r="D476" t="s">
        <v>74</v>
      </c>
      <c r="E476" t="s">
        <v>74</v>
      </c>
      <c r="F476" t="s">
        <v>31</v>
      </c>
      <c r="G476" t="s">
        <v>89</v>
      </c>
      <c r="H476" t="s">
        <v>90</v>
      </c>
      <c r="I476">
        <v>2</v>
      </c>
      <c r="J476">
        <v>2894.4</v>
      </c>
      <c r="K476">
        <v>723.94</v>
      </c>
      <c r="L476">
        <v>10</v>
      </c>
      <c r="M476" t="s">
        <v>40</v>
      </c>
      <c r="N476" t="str">
        <f>TEXT(Table1[[#This Row],[Order Date]],"MMMM")</f>
        <v>May</v>
      </c>
      <c r="O476">
        <f>YEAR(Table1[[#This Row],[Order Date]])</f>
        <v>2025</v>
      </c>
      <c r="P476" t="str">
        <f>"Q"&amp;ROUNDUP(MONTH(Table1[[#This Row],[Order Date]])/3,0)</f>
        <v>Q2</v>
      </c>
      <c r="Q476" s="3">
        <f>Table1[[#This Row],[Profit]]/Table1[[#This Row],[Sales]]</f>
        <v>0.25011746821448316</v>
      </c>
      <c r="R476" t="str">
        <f>IF(Table1[[#This Row],[Sales]]&lt;1000,"LOW",IF(Table1[[#This Row],[Sales]]&lt;5000,"MEDIUM","HIGH"))</f>
        <v>MEDIUM</v>
      </c>
      <c r="S476" s="2">
        <f>Table1[[#This Row],[Discount]]/100</f>
        <v>0.1</v>
      </c>
    </row>
    <row r="477" spans="1:19" x14ac:dyDescent="0.3">
      <c r="A477">
        <v>10476</v>
      </c>
      <c r="B477" s="1" t="s">
        <v>497</v>
      </c>
      <c r="C477" t="s">
        <v>233</v>
      </c>
      <c r="D477" t="s">
        <v>74</v>
      </c>
      <c r="E477" t="s">
        <v>74</v>
      </c>
      <c r="F477" t="s">
        <v>17</v>
      </c>
      <c r="G477" t="s">
        <v>75</v>
      </c>
      <c r="H477" t="s">
        <v>76</v>
      </c>
      <c r="I477">
        <v>6</v>
      </c>
      <c r="J477">
        <v>10516.5</v>
      </c>
      <c r="K477">
        <v>2305.25</v>
      </c>
      <c r="L477">
        <v>5</v>
      </c>
      <c r="M477" t="s">
        <v>45</v>
      </c>
      <c r="N477" t="str">
        <f>TEXT(Table1[[#This Row],[Order Date]],"MMMM")</f>
        <v>September</v>
      </c>
      <c r="O477">
        <f>YEAR(Table1[[#This Row],[Order Date]])</f>
        <v>2025</v>
      </c>
      <c r="P477" t="str">
        <f>"Q"&amp;ROUNDUP(MONTH(Table1[[#This Row],[Order Date]])/3,0)</f>
        <v>Q3</v>
      </c>
      <c r="Q477" s="3">
        <f>Table1[[#This Row],[Profit]]/Table1[[#This Row],[Sales]]</f>
        <v>0.21920315694385015</v>
      </c>
      <c r="R477" t="str">
        <f>IF(Table1[[#This Row],[Sales]]&lt;1000,"LOW",IF(Table1[[#This Row],[Sales]]&lt;5000,"MEDIUM","HIGH"))</f>
        <v>HIGH</v>
      </c>
      <c r="S477" s="2">
        <f>Table1[[#This Row],[Discount]]/100</f>
        <v>0.05</v>
      </c>
    </row>
    <row r="478" spans="1:19" x14ac:dyDescent="0.3">
      <c r="A478">
        <v>10477</v>
      </c>
      <c r="B478" s="1" t="s">
        <v>298</v>
      </c>
      <c r="C478" t="s">
        <v>498</v>
      </c>
      <c r="D478" t="s">
        <v>36</v>
      </c>
      <c r="E478" t="s">
        <v>37</v>
      </c>
      <c r="F478" t="s">
        <v>25</v>
      </c>
      <c r="G478" t="s">
        <v>26</v>
      </c>
      <c r="H478" t="s">
        <v>27</v>
      </c>
      <c r="I478">
        <v>3</v>
      </c>
      <c r="J478">
        <v>3070.2</v>
      </c>
      <c r="K478">
        <v>864.96</v>
      </c>
      <c r="L478">
        <v>15</v>
      </c>
      <c r="M478" t="s">
        <v>45</v>
      </c>
      <c r="N478" t="str">
        <f>TEXT(Table1[[#This Row],[Order Date]],"MMMM")</f>
        <v>September</v>
      </c>
      <c r="O478">
        <f>YEAR(Table1[[#This Row],[Order Date]])</f>
        <v>2025</v>
      </c>
      <c r="P478" t="str">
        <f>"Q"&amp;ROUNDUP(MONTH(Table1[[#This Row],[Order Date]])/3,0)</f>
        <v>Q3</v>
      </c>
      <c r="Q478" s="3">
        <f>Table1[[#This Row],[Profit]]/Table1[[#This Row],[Sales]]</f>
        <v>0.2817275747508306</v>
      </c>
      <c r="R478" t="str">
        <f>IF(Table1[[#This Row],[Sales]]&lt;1000,"LOW",IF(Table1[[#This Row],[Sales]]&lt;5000,"MEDIUM","HIGH"))</f>
        <v>MEDIUM</v>
      </c>
      <c r="S478" s="2">
        <f>Table1[[#This Row],[Discount]]/100</f>
        <v>0.15</v>
      </c>
    </row>
    <row r="479" spans="1:19" x14ac:dyDescent="0.3">
      <c r="A479">
        <v>10478</v>
      </c>
      <c r="B479" s="1" t="s">
        <v>307</v>
      </c>
      <c r="C479" t="s">
        <v>391</v>
      </c>
      <c r="D479" t="s">
        <v>36</v>
      </c>
      <c r="E479" t="s">
        <v>37</v>
      </c>
      <c r="F479" t="s">
        <v>31</v>
      </c>
      <c r="G479" t="s">
        <v>32</v>
      </c>
      <c r="H479" t="s">
        <v>33</v>
      </c>
      <c r="I479">
        <v>3</v>
      </c>
      <c r="J479">
        <v>4899.1499999999996</v>
      </c>
      <c r="K479">
        <v>519.82000000000005</v>
      </c>
      <c r="L479">
        <v>5</v>
      </c>
      <c r="M479" t="s">
        <v>45</v>
      </c>
      <c r="N479" t="str">
        <f>TEXT(Table1[[#This Row],[Order Date]],"MMMM")</f>
        <v>June</v>
      </c>
      <c r="O479">
        <f>YEAR(Table1[[#This Row],[Order Date]])</f>
        <v>2025</v>
      </c>
      <c r="P479" t="str">
        <f>"Q"&amp;ROUNDUP(MONTH(Table1[[#This Row],[Order Date]])/3,0)</f>
        <v>Q2</v>
      </c>
      <c r="Q479" s="3">
        <f>Table1[[#This Row],[Profit]]/Table1[[#This Row],[Sales]]</f>
        <v>0.10610412010246677</v>
      </c>
      <c r="R479" t="str">
        <f>IF(Table1[[#This Row],[Sales]]&lt;1000,"LOW",IF(Table1[[#This Row],[Sales]]&lt;5000,"MEDIUM","HIGH"))</f>
        <v>MEDIUM</v>
      </c>
      <c r="S479" s="2">
        <f>Table1[[#This Row],[Discount]]/100</f>
        <v>0.05</v>
      </c>
    </row>
    <row r="480" spans="1:19" x14ac:dyDescent="0.3">
      <c r="A480">
        <v>10479</v>
      </c>
      <c r="B480" s="1" t="s">
        <v>236</v>
      </c>
      <c r="C480" t="s">
        <v>212</v>
      </c>
      <c r="D480" t="s">
        <v>15</v>
      </c>
      <c r="E480" t="s">
        <v>16</v>
      </c>
      <c r="F480" t="s">
        <v>31</v>
      </c>
      <c r="G480" t="s">
        <v>124</v>
      </c>
      <c r="H480" t="s">
        <v>125</v>
      </c>
      <c r="I480">
        <v>3</v>
      </c>
      <c r="J480">
        <v>8114.4</v>
      </c>
      <c r="K480">
        <v>1121.3399999999999</v>
      </c>
      <c r="L480">
        <v>20</v>
      </c>
      <c r="M480" t="s">
        <v>49</v>
      </c>
      <c r="N480" t="str">
        <f>TEXT(Table1[[#This Row],[Order Date]],"MMMM")</f>
        <v>April</v>
      </c>
      <c r="O480">
        <f>YEAR(Table1[[#This Row],[Order Date]])</f>
        <v>2025</v>
      </c>
      <c r="P480" t="str">
        <f>"Q"&amp;ROUNDUP(MONTH(Table1[[#This Row],[Order Date]])/3,0)</f>
        <v>Q2</v>
      </c>
      <c r="Q480" s="3">
        <f>Table1[[#This Row],[Profit]]/Table1[[#This Row],[Sales]]</f>
        <v>0.13819136350192252</v>
      </c>
      <c r="R480" t="str">
        <f>IF(Table1[[#This Row],[Sales]]&lt;1000,"LOW",IF(Table1[[#This Row],[Sales]]&lt;5000,"MEDIUM","HIGH"))</f>
        <v>HIGH</v>
      </c>
      <c r="S480" s="2">
        <f>Table1[[#This Row],[Discount]]/100</f>
        <v>0.2</v>
      </c>
    </row>
    <row r="481" spans="1:19" x14ac:dyDescent="0.3">
      <c r="A481">
        <v>10480</v>
      </c>
      <c r="B481" s="1" t="s">
        <v>299</v>
      </c>
      <c r="C481" t="s">
        <v>216</v>
      </c>
      <c r="D481" t="s">
        <v>36</v>
      </c>
      <c r="E481" t="s">
        <v>37</v>
      </c>
      <c r="F481" t="s">
        <v>17</v>
      </c>
      <c r="G481" t="s">
        <v>43</v>
      </c>
      <c r="H481" t="s">
        <v>44</v>
      </c>
      <c r="I481">
        <v>4</v>
      </c>
      <c r="J481">
        <v>18372</v>
      </c>
      <c r="K481">
        <v>2057.5100000000002</v>
      </c>
      <c r="L481">
        <v>0</v>
      </c>
      <c r="M481" t="s">
        <v>40</v>
      </c>
      <c r="N481" t="str">
        <f>TEXT(Table1[[#This Row],[Order Date]],"MMMM")</f>
        <v>February</v>
      </c>
      <c r="O481">
        <f>YEAR(Table1[[#This Row],[Order Date]])</f>
        <v>2025</v>
      </c>
      <c r="P481" t="str">
        <f>"Q"&amp;ROUNDUP(MONTH(Table1[[#This Row],[Order Date]])/3,0)</f>
        <v>Q1</v>
      </c>
      <c r="Q481" s="3">
        <f>Table1[[#This Row],[Profit]]/Table1[[#This Row],[Sales]]</f>
        <v>0.11199161767907687</v>
      </c>
      <c r="R481" t="str">
        <f>IF(Table1[[#This Row],[Sales]]&lt;1000,"LOW",IF(Table1[[#This Row],[Sales]]&lt;5000,"MEDIUM","HIGH"))</f>
        <v>HIGH</v>
      </c>
      <c r="S481" s="2">
        <f>Table1[[#This Row],[Discount]]/100</f>
        <v>0</v>
      </c>
    </row>
    <row r="482" spans="1:19" x14ac:dyDescent="0.3">
      <c r="A482">
        <v>10481</v>
      </c>
      <c r="B482" s="1" t="s">
        <v>418</v>
      </c>
      <c r="C482" t="s">
        <v>311</v>
      </c>
      <c r="D482" t="s">
        <v>52</v>
      </c>
      <c r="E482" t="s">
        <v>53</v>
      </c>
      <c r="F482" t="s">
        <v>17</v>
      </c>
      <c r="G482" t="s">
        <v>43</v>
      </c>
      <c r="H482" t="s">
        <v>44</v>
      </c>
      <c r="I482">
        <v>6</v>
      </c>
      <c r="J482">
        <v>2241.6</v>
      </c>
      <c r="K482">
        <v>423.18</v>
      </c>
      <c r="L482">
        <v>20</v>
      </c>
      <c r="M482" t="s">
        <v>40</v>
      </c>
      <c r="N482" t="str">
        <f>TEXT(Table1[[#This Row],[Order Date]],"MMMM")</f>
        <v>November</v>
      </c>
      <c r="O482">
        <f>YEAR(Table1[[#This Row],[Order Date]])</f>
        <v>2025</v>
      </c>
      <c r="P482" t="str">
        <f>"Q"&amp;ROUNDUP(MONTH(Table1[[#This Row],[Order Date]])/3,0)</f>
        <v>Q4</v>
      </c>
      <c r="Q482" s="3">
        <f>Table1[[#This Row],[Profit]]/Table1[[#This Row],[Sales]]</f>
        <v>0.18878479657387581</v>
      </c>
      <c r="R482" t="str">
        <f>IF(Table1[[#This Row],[Sales]]&lt;1000,"LOW",IF(Table1[[#This Row],[Sales]]&lt;5000,"MEDIUM","HIGH"))</f>
        <v>MEDIUM</v>
      </c>
      <c r="S482" s="2">
        <f>Table1[[#This Row],[Discount]]/100</f>
        <v>0.2</v>
      </c>
    </row>
    <row r="483" spans="1:19" x14ac:dyDescent="0.3">
      <c r="A483">
        <v>10482</v>
      </c>
      <c r="B483" s="1" t="s">
        <v>499</v>
      </c>
      <c r="C483" t="s">
        <v>113</v>
      </c>
      <c r="D483" t="s">
        <v>60</v>
      </c>
      <c r="E483" t="s">
        <v>61</v>
      </c>
      <c r="F483" t="s">
        <v>25</v>
      </c>
      <c r="G483" t="s">
        <v>95</v>
      </c>
      <c r="H483" t="s">
        <v>96</v>
      </c>
      <c r="I483">
        <v>5</v>
      </c>
      <c r="J483">
        <v>16252</v>
      </c>
      <c r="K483">
        <v>3756.43</v>
      </c>
      <c r="L483">
        <v>15</v>
      </c>
      <c r="M483" t="s">
        <v>28</v>
      </c>
      <c r="N483" t="str">
        <f>TEXT(Table1[[#This Row],[Order Date]],"MMMM")</f>
        <v>February</v>
      </c>
      <c r="O483">
        <f>YEAR(Table1[[#This Row],[Order Date]])</f>
        <v>2025</v>
      </c>
      <c r="P483" t="str">
        <f>"Q"&amp;ROUNDUP(MONTH(Table1[[#This Row],[Order Date]])/3,0)</f>
        <v>Q1</v>
      </c>
      <c r="Q483" s="3">
        <f>Table1[[#This Row],[Profit]]/Table1[[#This Row],[Sales]]</f>
        <v>0.23113647551070637</v>
      </c>
      <c r="R483" t="str">
        <f>IF(Table1[[#This Row],[Sales]]&lt;1000,"LOW",IF(Table1[[#This Row],[Sales]]&lt;5000,"MEDIUM","HIGH"))</f>
        <v>HIGH</v>
      </c>
      <c r="S483" s="2">
        <f>Table1[[#This Row],[Discount]]/100</f>
        <v>0.15</v>
      </c>
    </row>
    <row r="484" spans="1:19" x14ac:dyDescent="0.3">
      <c r="A484">
        <v>10483</v>
      </c>
      <c r="B484" s="1" t="s">
        <v>262</v>
      </c>
      <c r="C484" t="s">
        <v>500</v>
      </c>
      <c r="D484" t="s">
        <v>56</v>
      </c>
      <c r="E484" t="s">
        <v>57</v>
      </c>
      <c r="F484" t="s">
        <v>25</v>
      </c>
      <c r="G484" t="s">
        <v>95</v>
      </c>
      <c r="H484" t="s">
        <v>96</v>
      </c>
      <c r="I484">
        <v>1</v>
      </c>
      <c r="J484">
        <v>713.15</v>
      </c>
      <c r="K484">
        <v>176.38</v>
      </c>
      <c r="L484">
        <v>15</v>
      </c>
      <c r="M484" t="s">
        <v>49</v>
      </c>
      <c r="N484" t="str">
        <f>TEXT(Table1[[#This Row],[Order Date]],"MMMM")</f>
        <v>November</v>
      </c>
      <c r="O484">
        <f>YEAR(Table1[[#This Row],[Order Date]])</f>
        <v>2025</v>
      </c>
      <c r="P484" t="str">
        <f>"Q"&amp;ROUNDUP(MONTH(Table1[[#This Row],[Order Date]])/3,0)</f>
        <v>Q4</v>
      </c>
      <c r="Q484" s="3">
        <f>Table1[[#This Row],[Profit]]/Table1[[#This Row],[Sales]]</f>
        <v>0.24732524714295731</v>
      </c>
      <c r="R484" t="str">
        <f>IF(Table1[[#This Row],[Sales]]&lt;1000,"LOW",IF(Table1[[#This Row],[Sales]]&lt;5000,"MEDIUM","HIGH"))</f>
        <v>LOW</v>
      </c>
      <c r="S484" s="2">
        <f>Table1[[#This Row],[Discount]]/100</f>
        <v>0.15</v>
      </c>
    </row>
    <row r="485" spans="1:19" x14ac:dyDescent="0.3">
      <c r="A485">
        <v>10484</v>
      </c>
      <c r="B485" s="1" t="s">
        <v>332</v>
      </c>
      <c r="C485" t="s">
        <v>113</v>
      </c>
      <c r="D485" t="s">
        <v>52</v>
      </c>
      <c r="E485" t="s">
        <v>53</v>
      </c>
      <c r="F485" t="s">
        <v>25</v>
      </c>
      <c r="G485" t="s">
        <v>26</v>
      </c>
      <c r="H485" t="s">
        <v>27</v>
      </c>
      <c r="I485">
        <v>4</v>
      </c>
      <c r="J485">
        <v>14857.6</v>
      </c>
      <c r="K485">
        <v>3398.28</v>
      </c>
      <c r="L485">
        <v>20</v>
      </c>
      <c r="M485" t="s">
        <v>20</v>
      </c>
      <c r="N485" t="str">
        <f>TEXT(Table1[[#This Row],[Order Date]],"MMMM")</f>
        <v>December</v>
      </c>
      <c r="O485">
        <f>YEAR(Table1[[#This Row],[Order Date]])</f>
        <v>2025</v>
      </c>
      <c r="P485" t="str">
        <f>"Q"&amp;ROUNDUP(MONTH(Table1[[#This Row],[Order Date]])/3,0)</f>
        <v>Q4</v>
      </c>
      <c r="Q485" s="3">
        <f>Table1[[#This Row],[Profit]]/Table1[[#This Row],[Sales]]</f>
        <v>0.22872334697393928</v>
      </c>
      <c r="R485" t="str">
        <f>IF(Table1[[#This Row],[Sales]]&lt;1000,"LOW",IF(Table1[[#This Row],[Sales]]&lt;5000,"MEDIUM","HIGH"))</f>
        <v>HIGH</v>
      </c>
      <c r="S485" s="2">
        <f>Table1[[#This Row],[Discount]]/100</f>
        <v>0.2</v>
      </c>
    </row>
    <row r="486" spans="1:19" x14ac:dyDescent="0.3">
      <c r="A486">
        <v>10485</v>
      </c>
      <c r="B486" s="1" t="s">
        <v>482</v>
      </c>
      <c r="C486" t="s">
        <v>277</v>
      </c>
      <c r="D486" t="s">
        <v>36</v>
      </c>
      <c r="E486" t="s">
        <v>37</v>
      </c>
      <c r="F486" t="s">
        <v>25</v>
      </c>
      <c r="G486" t="s">
        <v>26</v>
      </c>
      <c r="H486" t="s">
        <v>71</v>
      </c>
      <c r="I486">
        <v>5</v>
      </c>
      <c r="J486">
        <v>15716.5</v>
      </c>
      <c r="K486">
        <v>1351.45</v>
      </c>
      <c r="L486">
        <v>15</v>
      </c>
      <c r="M486" t="s">
        <v>40</v>
      </c>
      <c r="N486" t="str">
        <f>TEXT(Table1[[#This Row],[Order Date]],"MMMM")</f>
        <v>February</v>
      </c>
      <c r="O486">
        <f>YEAR(Table1[[#This Row],[Order Date]])</f>
        <v>2025</v>
      </c>
      <c r="P486" t="str">
        <f>"Q"&amp;ROUNDUP(MONTH(Table1[[#This Row],[Order Date]])/3,0)</f>
        <v>Q1</v>
      </c>
      <c r="Q486" s="3">
        <f>Table1[[#This Row],[Profit]]/Table1[[#This Row],[Sales]]</f>
        <v>8.5989246969745178E-2</v>
      </c>
      <c r="R486" t="str">
        <f>IF(Table1[[#This Row],[Sales]]&lt;1000,"LOW",IF(Table1[[#This Row],[Sales]]&lt;5000,"MEDIUM","HIGH"))</f>
        <v>HIGH</v>
      </c>
      <c r="S486" s="2">
        <f>Table1[[#This Row],[Discount]]/100</f>
        <v>0.15</v>
      </c>
    </row>
    <row r="487" spans="1:19" x14ac:dyDescent="0.3">
      <c r="A487">
        <v>10486</v>
      </c>
      <c r="B487" s="1" t="s">
        <v>501</v>
      </c>
      <c r="C487" t="s">
        <v>115</v>
      </c>
      <c r="D487" t="s">
        <v>66</v>
      </c>
      <c r="E487" t="s">
        <v>16</v>
      </c>
      <c r="F487" t="s">
        <v>31</v>
      </c>
      <c r="G487" t="s">
        <v>89</v>
      </c>
      <c r="H487" t="s">
        <v>90</v>
      </c>
      <c r="I487">
        <v>4</v>
      </c>
      <c r="J487">
        <v>9921.6</v>
      </c>
      <c r="K487">
        <v>995.56</v>
      </c>
      <c r="L487">
        <v>10</v>
      </c>
      <c r="M487" t="s">
        <v>20</v>
      </c>
      <c r="N487" t="str">
        <f>TEXT(Table1[[#This Row],[Order Date]],"MMMM")</f>
        <v>June</v>
      </c>
      <c r="O487">
        <f>YEAR(Table1[[#This Row],[Order Date]])</f>
        <v>2025</v>
      </c>
      <c r="P487" t="str">
        <f>"Q"&amp;ROUNDUP(MONTH(Table1[[#This Row],[Order Date]])/3,0)</f>
        <v>Q2</v>
      </c>
      <c r="Q487" s="3">
        <f>Table1[[#This Row],[Profit]]/Table1[[#This Row],[Sales]]</f>
        <v>0.10034268666344137</v>
      </c>
      <c r="R487" t="str">
        <f>IF(Table1[[#This Row],[Sales]]&lt;1000,"LOW",IF(Table1[[#This Row],[Sales]]&lt;5000,"MEDIUM","HIGH"))</f>
        <v>HIGH</v>
      </c>
      <c r="S487" s="2">
        <f>Table1[[#This Row],[Discount]]/100</f>
        <v>0.1</v>
      </c>
    </row>
    <row r="488" spans="1:19" x14ac:dyDescent="0.3">
      <c r="A488">
        <v>10487</v>
      </c>
      <c r="B488" s="1" t="s">
        <v>502</v>
      </c>
      <c r="C488" t="s">
        <v>141</v>
      </c>
      <c r="D488" t="s">
        <v>60</v>
      </c>
      <c r="E488" t="s">
        <v>61</v>
      </c>
      <c r="F488" t="s">
        <v>25</v>
      </c>
      <c r="G488" t="s">
        <v>26</v>
      </c>
      <c r="H488" t="s">
        <v>48</v>
      </c>
      <c r="I488">
        <v>7</v>
      </c>
      <c r="J488">
        <v>4295.8999999999996</v>
      </c>
      <c r="K488">
        <v>815.35</v>
      </c>
      <c r="L488">
        <v>5</v>
      </c>
      <c r="M488" t="s">
        <v>28</v>
      </c>
      <c r="N488" t="str">
        <f>TEXT(Table1[[#This Row],[Order Date]],"MMMM")</f>
        <v>August</v>
      </c>
      <c r="O488">
        <f>YEAR(Table1[[#This Row],[Order Date]])</f>
        <v>2025</v>
      </c>
      <c r="P488" t="str">
        <f>"Q"&amp;ROUNDUP(MONTH(Table1[[#This Row],[Order Date]])/3,0)</f>
        <v>Q3</v>
      </c>
      <c r="Q488" s="3">
        <f>Table1[[#This Row],[Profit]]/Table1[[#This Row],[Sales]]</f>
        <v>0.18979724853930494</v>
      </c>
      <c r="R488" t="str">
        <f>IF(Table1[[#This Row],[Sales]]&lt;1000,"LOW",IF(Table1[[#This Row],[Sales]]&lt;5000,"MEDIUM","HIGH"))</f>
        <v>MEDIUM</v>
      </c>
      <c r="S488" s="2">
        <f>Table1[[#This Row],[Discount]]/100</f>
        <v>0.05</v>
      </c>
    </row>
    <row r="489" spans="1:19" x14ac:dyDescent="0.3">
      <c r="A489">
        <v>10488</v>
      </c>
      <c r="B489" s="1" t="s">
        <v>439</v>
      </c>
      <c r="C489" t="s">
        <v>387</v>
      </c>
      <c r="D489" t="s">
        <v>23</v>
      </c>
      <c r="E489" t="s">
        <v>24</v>
      </c>
      <c r="F489" t="s">
        <v>17</v>
      </c>
      <c r="G489" t="s">
        <v>75</v>
      </c>
      <c r="H489" t="s">
        <v>116</v>
      </c>
      <c r="I489">
        <v>1</v>
      </c>
      <c r="J489">
        <v>4097.3500000000004</v>
      </c>
      <c r="K489">
        <v>654.4</v>
      </c>
      <c r="L489">
        <v>5</v>
      </c>
      <c r="M489" t="s">
        <v>28</v>
      </c>
      <c r="N489" t="str">
        <f>TEXT(Table1[[#This Row],[Order Date]],"MMMM")</f>
        <v>January</v>
      </c>
      <c r="O489">
        <f>YEAR(Table1[[#This Row],[Order Date]])</f>
        <v>2025</v>
      </c>
      <c r="P489" t="str">
        <f>"Q"&amp;ROUNDUP(MONTH(Table1[[#This Row],[Order Date]])/3,0)</f>
        <v>Q1</v>
      </c>
      <c r="Q489" s="3">
        <f>Table1[[#This Row],[Profit]]/Table1[[#This Row],[Sales]]</f>
        <v>0.15971298522215577</v>
      </c>
      <c r="R489" t="str">
        <f>IF(Table1[[#This Row],[Sales]]&lt;1000,"LOW",IF(Table1[[#This Row],[Sales]]&lt;5000,"MEDIUM","HIGH"))</f>
        <v>MEDIUM</v>
      </c>
      <c r="S489" s="2">
        <f>Table1[[#This Row],[Discount]]/100</f>
        <v>0.05</v>
      </c>
    </row>
    <row r="490" spans="1:19" x14ac:dyDescent="0.3">
      <c r="A490">
        <v>10489</v>
      </c>
      <c r="B490" s="1" t="s">
        <v>298</v>
      </c>
      <c r="C490" t="s">
        <v>80</v>
      </c>
      <c r="D490" t="s">
        <v>56</v>
      </c>
      <c r="E490" t="s">
        <v>57</v>
      </c>
      <c r="F490" t="s">
        <v>25</v>
      </c>
      <c r="G490" t="s">
        <v>26</v>
      </c>
      <c r="H490" t="s">
        <v>48</v>
      </c>
      <c r="I490">
        <v>8</v>
      </c>
      <c r="J490">
        <v>25984</v>
      </c>
      <c r="K490">
        <v>2978.5</v>
      </c>
      <c r="L490">
        <v>0</v>
      </c>
      <c r="M490" t="s">
        <v>28</v>
      </c>
      <c r="N490" t="str">
        <f>TEXT(Table1[[#This Row],[Order Date]],"MMMM")</f>
        <v>September</v>
      </c>
      <c r="O490">
        <f>YEAR(Table1[[#This Row],[Order Date]])</f>
        <v>2025</v>
      </c>
      <c r="P490" t="str">
        <f>"Q"&amp;ROUNDUP(MONTH(Table1[[#This Row],[Order Date]])/3,0)</f>
        <v>Q3</v>
      </c>
      <c r="Q490" s="3">
        <f>Table1[[#This Row],[Profit]]/Table1[[#This Row],[Sales]]</f>
        <v>0.11462823275862069</v>
      </c>
      <c r="R490" t="str">
        <f>IF(Table1[[#This Row],[Sales]]&lt;1000,"LOW",IF(Table1[[#This Row],[Sales]]&lt;5000,"MEDIUM","HIGH"))</f>
        <v>HIGH</v>
      </c>
      <c r="S490" s="2">
        <f>Table1[[#This Row],[Discount]]/100</f>
        <v>0</v>
      </c>
    </row>
    <row r="491" spans="1:19" x14ac:dyDescent="0.3">
      <c r="A491">
        <v>10490</v>
      </c>
      <c r="B491" s="1" t="s">
        <v>58</v>
      </c>
      <c r="C491" t="s">
        <v>228</v>
      </c>
      <c r="D491" t="s">
        <v>15</v>
      </c>
      <c r="E491" t="s">
        <v>16</v>
      </c>
      <c r="F491" t="s">
        <v>17</v>
      </c>
      <c r="G491" t="s">
        <v>75</v>
      </c>
      <c r="H491" t="s">
        <v>116</v>
      </c>
      <c r="I491">
        <v>4</v>
      </c>
      <c r="J491">
        <v>14560</v>
      </c>
      <c r="K491">
        <v>3019.59</v>
      </c>
      <c r="L491">
        <v>20</v>
      </c>
      <c r="M491" t="s">
        <v>20</v>
      </c>
      <c r="N491" t="str">
        <f>TEXT(Table1[[#This Row],[Order Date]],"MMMM")</f>
        <v>February</v>
      </c>
      <c r="O491">
        <f>YEAR(Table1[[#This Row],[Order Date]])</f>
        <v>2025</v>
      </c>
      <c r="P491" t="str">
        <f>"Q"&amp;ROUNDUP(MONTH(Table1[[#This Row],[Order Date]])/3,0)</f>
        <v>Q1</v>
      </c>
      <c r="Q491" s="3">
        <f>Table1[[#This Row],[Profit]]/Table1[[#This Row],[Sales]]</f>
        <v>0.2073894230769231</v>
      </c>
      <c r="R491" t="str">
        <f>IF(Table1[[#This Row],[Sales]]&lt;1000,"LOW",IF(Table1[[#This Row],[Sales]]&lt;5000,"MEDIUM","HIGH"))</f>
        <v>HIGH</v>
      </c>
      <c r="S491" s="2">
        <f>Table1[[#This Row],[Discount]]/100</f>
        <v>0.2</v>
      </c>
    </row>
    <row r="492" spans="1:19" x14ac:dyDescent="0.3">
      <c r="A492">
        <v>10491</v>
      </c>
      <c r="B492" s="1" t="s">
        <v>503</v>
      </c>
      <c r="C492" t="s">
        <v>357</v>
      </c>
      <c r="D492" t="s">
        <v>15</v>
      </c>
      <c r="E492" t="s">
        <v>16</v>
      </c>
      <c r="F492" t="s">
        <v>25</v>
      </c>
      <c r="G492" t="s">
        <v>26</v>
      </c>
      <c r="H492" t="s">
        <v>48</v>
      </c>
      <c r="I492">
        <v>2</v>
      </c>
      <c r="J492">
        <v>1771.4</v>
      </c>
      <c r="K492">
        <v>277.2</v>
      </c>
      <c r="L492">
        <v>15</v>
      </c>
      <c r="M492" t="s">
        <v>20</v>
      </c>
      <c r="N492" t="str">
        <f>TEXT(Table1[[#This Row],[Order Date]],"MMMM")</f>
        <v>February</v>
      </c>
      <c r="O492">
        <f>YEAR(Table1[[#This Row],[Order Date]])</f>
        <v>2025</v>
      </c>
      <c r="P492" t="str">
        <f>"Q"&amp;ROUNDUP(MONTH(Table1[[#This Row],[Order Date]])/3,0)</f>
        <v>Q1</v>
      </c>
      <c r="Q492" s="3">
        <f>Table1[[#This Row],[Profit]]/Table1[[#This Row],[Sales]]</f>
        <v>0.15648639494185387</v>
      </c>
      <c r="R492" t="str">
        <f>IF(Table1[[#This Row],[Sales]]&lt;1000,"LOW",IF(Table1[[#This Row],[Sales]]&lt;5000,"MEDIUM","HIGH"))</f>
        <v>MEDIUM</v>
      </c>
      <c r="S492" s="2">
        <f>Table1[[#This Row],[Discount]]/100</f>
        <v>0.15</v>
      </c>
    </row>
    <row r="493" spans="1:19" x14ac:dyDescent="0.3">
      <c r="A493">
        <v>10492</v>
      </c>
      <c r="B493" s="1" t="s">
        <v>157</v>
      </c>
      <c r="C493" t="s">
        <v>146</v>
      </c>
      <c r="D493" t="s">
        <v>15</v>
      </c>
      <c r="E493" t="s">
        <v>16</v>
      </c>
      <c r="F493" t="s">
        <v>31</v>
      </c>
      <c r="G493" t="s">
        <v>38</v>
      </c>
      <c r="H493" t="s">
        <v>39</v>
      </c>
      <c r="I493">
        <v>2</v>
      </c>
      <c r="J493">
        <v>5385.6</v>
      </c>
      <c r="K493">
        <v>650.77</v>
      </c>
      <c r="L493">
        <v>10</v>
      </c>
      <c r="M493" t="s">
        <v>20</v>
      </c>
      <c r="N493" t="str">
        <f>TEXT(Table1[[#This Row],[Order Date]],"MMMM")</f>
        <v>June</v>
      </c>
      <c r="O493">
        <f>YEAR(Table1[[#This Row],[Order Date]])</f>
        <v>2025</v>
      </c>
      <c r="P493" t="str">
        <f>"Q"&amp;ROUNDUP(MONTH(Table1[[#This Row],[Order Date]])/3,0)</f>
        <v>Q2</v>
      </c>
      <c r="Q493" s="3">
        <f>Table1[[#This Row],[Profit]]/Table1[[#This Row],[Sales]]</f>
        <v>0.12083519013666072</v>
      </c>
      <c r="R493" t="str">
        <f>IF(Table1[[#This Row],[Sales]]&lt;1000,"LOW",IF(Table1[[#This Row],[Sales]]&lt;5000,"MEDIUM","HIGH"))</f>
        <v>HIGH</v>
      </c>
      <c r="S493" s="2">
        <f>Table1[[#This Row],[Discount]]/100</f>
        <v>0.1</v>
      </c>
    </row>
    <row r="494" spans="1:19" x14ac:dyDescent="0.3">
      <c r="A494">
        <v>10493</v>
      </c>
      <c r="B494" s="1" t="s">
        <v>217</v>
      </c>
      <c r="C494" t="s">
        <v>133</v>
      </c>
      <c r="D494" t="s">
        <v>15</v>
      </c>
      <c r="E494" t="s">
        <v>16</v>
      </c>
      <c r="F494" t="s">
        <v>17</v>
      </c>
      <c r="G494" t="s">
        <v>43</v>
      </c>
      <c r="H494" t="s">
        <v>44</v>
      </c>
      <c r="I494">
        <v>3</v>
      </c>
      <c r="J494">
        <v>451.35</v>
      </c>
      <c r="K494">
        <v>85.19</v>
      </c>
      <c r="L494">
        <v>15</v>
      </c>
      <c r="M494" t="s">
        <v>28</v>
      </c>
      <c r="N494" t="str">
        <f>TEXT(Table1[[#This Row],[Order Date]],"MMMM")</f>
        <v>April</v>
      </c>
      <c r="O494">
        <f>YEAR(Table1[[#This Row],[Order Date]])</f>
        <v>2025</v>
      </c>
      <c r="P494" t="str">
        <f>"Q"&amp;ROUNDUP(MONTH(Table1[[#This Row],[Order Date]])/3,0)</f>
        <v>Q2</v>
      </c>
      <c r="Q494" s="3">
        <f>Table1[[#This Row],[Profit]]/Table1[[#This Row],[Sales]]</f>
        <v>0.1887448764816661</v>
      </c>
      <c r="R494" t="str">
        <f>IF(Table1[[#This Row],[Sales]]&lt;1000,"LOW",IF(Table1[[#This Row],[Sales]]&lt;5000,"MEDIUM","HIGH"))</f>
        <v>LOW</v>
      </c>
      <c r="S494" s="2">
        <f>Table1[[#This Row],[Discount]]/100</f>
        <v>0.15</v>
      </c>
    </row>
    <row r="495" spans="1:19" x14ac:dyDescent="0.3">
      <c r="A495">
        <v>10494</v>
      </c>
      <c r="B495" s="1" t="s">
        <v>306</v>
      </c>
      <c r="C495" t="s">
        <v>286</v>
      </c>
      <c r="D495" t="s">
        <v>15</v>
      </c>
      <c r="E495" t="s">
        <v>16</v>
      </c>
      <c r="F495" t="s">
        <v>25</v>
      </c>
      <c r="G495" t="s">
        <v>26</v>
      </c>
      <c r="H495" t="s">
        <v>48</v>
      </c>
      <c r="I495">
        <v>2</v>
      </c>
      <c r="J495">
        <v>3972.6</v>
      </c>
      <c r="K495">
        <v>1053.45</v>
      </c>
      <c r="L495">
        <v>10</v>
      </c>
      <c r="M495" t="s">
        <v>28</v>
      </c>
      <c r="N495" t="str">
        <f>TEXT(Table1[[#This Row],[Order Date]],"MMMM")</f>
        <v>July</v>
      </c>
      <c r="O495">
        <f>YEAR(Table1[[#This Row],[Order Date]])</f>
        <v>2025</v>
      </c>
      <c r="P495" t="str">
        <f>"Q"&amp;ROUNDUP(MONTH(Table1[[#This Row],[Order Date]])/3,0)</f>
        <v>Q3</v>
      </c>
      <c r="Q495" s="3">
        <f>Table1[[#This Row],[Profit]]/Table1[[#This Row],[Sales]]</f>
        <v>0.26517897598550072</v>
      </c>
      <c r="R495" t="str">
        <f>IF(Table1[[#This Row],[Sales]]&lt;1000,"LOW",IF(Table1[[#This Row],[Sales]]&lt;5000,"MEDIUM","HIGH"))</f>
        <v>MEDIUM</v>
      </c>
      <c r="S495" s="2">
        <f>Table1[[#This Row],[Discount]]/100</f>
        <v>0.1</v>
      </c>
    </row>
    <row r="496" spans="1:19" x14ac:dyDescent="0.3">
      <c r="A496">
        <v>10495</v>
      </c>
      <c r="B496" s="1" t="s">
        <v>450</v>
      </c>
      <c r="C496" t="s">
        <v>504</v>
      </c>
      <c r="D496" t="s">
        <v>56</v>
      </c>
      <c r="E496" t="s">
        <v>57</v>
      </c>
      <c r="F496" t="s">
        <v>25</v>
      </c>
      <c r="G496" t="s">
        <v>26</v>
      </c>
      <c r="H496" t="s">
        <v>48</v>
      </c>
      <c r="I496">
        <v>8</v>
      </c>
      <c r="J496">
        <v>6140.4</v>
      </c>
      <c r="K496">
        <v>732.41</v>
      </c>
      <c r="L496">
        <v>15</v>
      </c>
      <c r="M496" t="s">
        <v>45</v>
      </c>
      <c r="N496" t="str">
        <f>TEXT(Table1[[#This Row],[Order Date]],"MMMM")</f>
        <v>August</v>
      </c>
      <c r="O496">
        <f>YEAR(Table1[[#This Row],[Order Date]])</f>
        <v>2025</v>
      </c>
      <c r="P496" t="str">
        <f>"Q"&amp;ROUNDUP(MONTH(Table1[[#This Row],[Order Date]])/3,0)</f>
        <v>Q3</v>
      </c>
      <c r="Q496" s="3">
        <f>Table1[[#This Row],[Profit]]/Table1[[#This Row],[Sales]]</f>
        <v>0.11927724578203375</v>
      </c>
      <c r="R496" t="str">
        <f>IF(Table1[[#This Row],[Sales]]&lt;1000,"LOW",IF(Table1[[#This Row],[Sales]]&lt;5000,"MEDIUM","HIGH"))</f>
        <v>HIGH</v>
      </c>
      <c r="S496" s="2">
        <f>Table1[[#This Row],[Discount]]/100</f>
        <v>0.15</v>
      </c>
    </row>
    <row r="497" spans="1:19" x14ac:dyDescent="0.3">
      <c r="A497">
        <v>10496</v>
      </c>
      <c r="B497" s="1" t="s">
        <v>352</v>
      </c>
      <c r="C497" t="s">
        <v>359</v>
      </c>
      <c r="D497" t="s">
        <v>36</v>
      </c>
      <c r="E497" t="s">
        <v>37</v>
      </c>
      <c r="F497" t="s">
        <v>17</v>
      </c>
      <c r="G497" t="s">
        <v>18</v>
      </c>
      <c r="H497" t="s">
        <v>19</v>
      </c>
      <c r="I497">
        <v>7</v>
      </c>
      <c r="J497">
        <v>5346.6</v>
      </c>
      <c r="K497">
        <v>1424.93</v>
      </c>
      <c r="L497">
        <v>5</v>
      </c>
      <c r="M497" t="s">
        <v>45</v>
      </c>
      <c r="N497" t="str">
        <f>TEXT(Table1[[#This Row],[Order Date]],"MMMM")</f>
        <v>April</v>
      </c>
      <c r="O497">
        <f>YEAR(Table1[[#This Row],[Order Date]])</f>
        <v>2025</v>
      </c>
      <c r="P497" t="str">
        <f>"Q"&amp;ROUNDUP(MONTH(Table1[[#This Row],[Order Date]])/3,0)</f>
        <v>Q2</v>
      </c>
      <c r="Q497" s="3">
        <f>Table1[[#This Row],[Profit]]/Table1[[#This Row],[Sales]]</f>
        <v>0.26651142782328957</v>
      </c>
      <c r="R497" t="str">
        <f>IF(Table1[[#This Row],[Sales]]&lt;1000,"LOW",IF(Table1[[#This Row],[Sales]]&lt;5000,"MEDIUM","HIGH"))</f>
        <v>HIGH</v>
      </c>
      <c r="S497" s="2">
        <f>Table1[[#This Row],[Discount]]/100</f>
        <v>0.05</v>
      </c>
    </row>
    <row r="498" spans="1:19" x14ac:dyDescent="0.3">
      <c r="A498">
        <v>10497</v>
      </c>
      <c r="B498" s="1" t="s">
        <v>119</v>
      </c>
      <c r="C498" t="s">
        <v>412</v>
      </c>
      <c r="D498" t="s">
        <v>36</v>
      </c>
      <c r="E498" t="s">
        <v>37</v>
      </c>
      <c r="F498" t="s">
        <v>17</v>
      </c>
      <c r="G498" t="s">
        <v>75</v>
      </c>
      <c r="H498" t="s">
        <v>76</v>
      </c>
      <c r="I498">
        <v>7</v>
      </c>
      <c r="J498">
        <v>11623.5</v>
      </c>
      <c r="K498">
        <v>2650.43</v>
      </c>
      <c r="L498">
        <v>10</v>
      </c>
      <c r="M498" t="s">
        <v>45</v>
      </c>
      <c r="N498" t="str">
        <f>TEXT(Table1[[#This Row],[Order Date]],"MMMM")</f>
        <v>November</v>
      </c>
      <c r="O498">
        <f>YEAR(Table1[[#This Row],[Order Date]])</f>
        <v>2025</v>
      </c>
      <c r="P498" t="str">
        <f>"Q"&amp;ROUNDUP(MONTH(Table1[[#This Row],[Order Date]])/3,0)</f>
        <v>Q4</v>
      </c>
      <c r="Q498" s="3">
        <f>Table1[[#This Row],[Profit]]/Table1[[#This Row],[Sales]]</f>
        <v>0.2280234008689293</v>
      </c>
      <c r="R498" t="str">
        <f>IF(Table1[[#This Row],[Sales]]&lt;1000,"LOW",IF(Table1[[#This Row],[Sales]]&lt;5000,"MEDIUM","HIGH"))</f>
        <v>HIGH</v>
      </c>
      <c r="S498" s="2">
        <f>Table1[[#This Row],[Discount]]/100</f>
        <v>0.1</v>
      </c>
    </row>
    <row r="499" spans="1:19" x14ac:dyDescent="0.3">
      <c r="A499">
        <v>10498</v>
      </c>
      <c r="B499" s="1" t="s">
        <v>468</v>
      </c>
      <c r="C499" t="s">
        <v>228</v>
      </c>
      <c r="D499" t="s">
        <v>66</v>
      </c>
      <c r="E499" t="s">
        <v>16</v>
      </c>
      <c r="F499" t="s">
        <v>25</v>
      </c>
      <c r="G499" t="s">
        <v>26</v>
      </c>
      <c r="H499" t="s">
        <v>71</v>
      </c>
      <c r="I499">
        <v>3</v>
      </c>
      <c r="J499">
        <v>5158.6499999999996</v>
      </c>
      <c r="K499">
        <v>974.91</v>
      </c>
      <c r="L499">
        <v>15</v>
      </c>
      <c r="M499" t="s">
        <v>40</v>
      </c>
      <c r="N499" t="str">
        <f>TEXT(Table1[[#This Row],[Order Date]],"MMMM")</f>
        <v>March</v>
      </c>
      <c r="O499">
        <f>YEAR(Table1[[#This Row],[Order Date]])</f>
        <v>2025</v>
      </c>
      <c r="P499" t="str">
        <f>"Q"&amp;ROUNDUP(MONTH(Table1[[#This Row],[Order Date]])/3,0)</f>
        <v>Q1</v>
      </c>
      <c r="Q499" s="3">
        <f>Table1[[#This Row],[Profit]]/Table1[[#This Row],[Sales]]</f>
        <v>0.1889854903899276</v>
      </c>
      <c r="R499" t="str">
        <f>IF(Table1[[#This Row],[Sales]]&lt;1000,"LOW",IF(Table1[[#This Row],[Sales]]&lt;5000,"MEDIUM","HIGH"))</f>
        <v>HIGH</v>
      </c>
      <c r="S499" s="2">
        <f>Table1[[#This Row],[Discount]]/100</f>
        <v>0.15</v>
      </c>
    </row>
    <row r="500" spans="1:19" x14ac:dyDescent="0.3">
      <c r="A500">
        <v>10499</v>
      </c>
      <c r="B500" s="1" t="s">
        <v>50</v>
      </c>
      <c r="C500" t="s">
        <v>129</v>
      </c>
      <c r="D500" t="s">
        <v>52</v>
      </c>
      <c r="E500" t="s">
        <v>53</v>
      </c>
      <c r="F500" t="s">
        <v>25</v>
      </c>
      <c r="G500" t="s">
        <v>26</v>
      </c>
      <c r="H500" t="s">
        <v>48</v>
      </c>
      <c r="I500">
        <v>8</v>
      </c>
      <c r="J500">
        <v>25568</v>
      </c>
      <c r="K500">
        <v>5573.27</v>
      </c>
      <c r="L500">
        <v>0</v>
      </c>
      <c r="M500" t="s">
        <v>20</v>
      </c>
      <c r="N500" t="str">
        <f>TEXT(Table1[[#This Row],[Order Date]],"MMMM")</f>
        <v>February</v>
      </c>
      <c r="O500">
        <f>YEAR(Table1[[#This Row],[Order Date]])</f>
        <v>2025</v>
      </c>
      <c r="P500" t="str">
        <f>"Q"&amp;ROUNDUP(MONTH(Table1[[#This Row],[Order Date]])/3,0)</f>
        <v>Q1</v>
      </c>
      <c r="Q500" s="3">
        <f>Table1[[#This Row],[Profit]]/Table1[[#This Row],[Sales]]</f>
        <v>0.21797833229036298</v>
      </c>
      <c r="R500" t="str">
        <f>IF(Table1[[#This Row],[Sales]]&lt;1000,"LOW",IF(Table1[[#This Row],[Sales]]&lt;5000,"MEDIUM","HIGH"))</f>
        <v>HIGH</v>
      </c>
      <c r="S500" s="2">
        <f>Table1[[#This Row],[Discount]]/100</f>
        <v>0</v>
      </c>
    </row>
    <row r="501" spans="1:19" x14ac:dyDescent="0.3">
      <c r="A501">
        <v>10500</v>
      </c>
      <c r="B501" s="1" t="s">
        <v>320</v>
      </c>
      <c r="C501" t="s">
        <v>380</v>
      </c>
      <c r="D501" t="s">
        <v>52</v>
      </c>
      <c r="E501" t="s">
        <v>53</v>
      </c>
      <c r="F501" t="s">
        <v>31</v>
      </c>
      <c r="G501" t="s">
        <v>32</v>
      </c>
      <c r="H501" t="s">
        <v>33</v>
      </c>
      <c r="I501">
        <v>7</v>
      </c>
      <c r="J501">
        <v>14553</v>
      </c>
      <c r="K501">
        <v>3275.65</v>
      </c>
      <c r="L501">
        <v>0</v>
      </c>
      <c r="M501" t="s">
        <v>45</v>
      </c>
      <c r="N501" t="str">
        <f>TEXT(Table1[[#This Row],[Order Date]],"MMMM")</f>
        <v>October</v>
      </c>
      <c r="O501">
        <f>YEAR(Table1[[#This Row],[Order Date]])</f>
        <v>2025</v>
      </c>
      <c r="P501" t="str">
        <f>"Q"&amp;ROUNDUP(MONTH(Table1[[#This Row],[Order Date]])/3,0)</f>
        <v>Q4</v>
      </c>
      <c r="Q501" s="3">
        <f>Table1[[#This Row],[Profit]]/Table1[[#This Row],[Sales]]</f>
        <v>0.22508417508417508</v>
      </c>
      <c r="R501" t="str">
        <f>IF(Table1[[#This Row],[Sales]]&lt;1000,"LOW",IF(Table1[[#This Row],[Sales]]&lt;5000,"MEDIUM","HIGH"))</f>
        <v>HIGH</v>
      </c>
      <c r="S501" s="2">
        <f>Table1[[#This Row],[Discount]]/100</f>
        <v>0</v>
      </c>
    </row>
    <row r="502" spans="1:19" x14ac:dyDescent="0.3">
      <c r="A502">
        <v>10501</v>
      </c>
      <c r="B502" s="1" t="s">
        <v>427</v>
      </c>
      <c r="C502" t="s">
        <v>88</v>
      </c>
      <c r="D502" t="s">
        <v>15</v>
      </c>
      <c r="E502" t="s">
        <v>16</v>
      </c>
      <c r="F502" t="s">
        <v>31</v>
      </c>
      <c r="G502" t="s">
        <v>89</v>
      </c>
      <c r="H502" t="s">
        <v>90</v>
      </c>
      <c r="I502">
        <v>4</v>
      </c>
      <c r="J502">
        <v>2898</v>
      </c>
      <c r="K502">
        <v>632.34</v>
      </c>
      <c r="L502">
        <v>10</v>
      </c>
      <c r="M502" t="s">
        <v>49</v>
      </c>
      <c r="N502" t="str">
        <f>TEXT(Table1[[#This Row],[Order Date]],"MMMM")</f>
        <v>December</v>
      </c>
      <c r="O502">
        <f>YEAR(Table1[[#This Row],[Order Date]])</f>
        <v>2025</v>
      </c>
      <c r="P502" t="str">
        <f>"Q"&amp;ROUNDUP(MONTH(Table1[[#This Row],[Order Date]])/3,0)</f>
        <v>Q4</v>
      </c>
      <c r="Q502" s="3">
        <f>Table1[[#This Row],[Profit]]/Table1[[#This Row],[Sales]]</f>
        <v>0.21819875776397515</v>
      </c>
      <c r="R502" t="str">
        <f>IF(Table1[[#This Row],[Sales]]&lt;1000,"LOW",IF(Table1[[#This Row],[Sales]]&lt;5000,"MEDIUM","HIGH"))</f>
        <v>MEDIUM</v>
      </c>
      <c r="S502" s="2">
        <f>Table1[[#This Row],[Discount]]/100</f>
        <v>0.1</v>
      </c>
    </row>
    <row r="503" spans="1:19" x14ac:dyDescent="0.3">
      <c r="A503">
        <v>10502</v>
      </c>
      <c r="B503" s="1" t="s">
        <v>64</v>
      </c>
      <c r="C503" t="s">
        <v>443</v>
      </c>
      <c r="D503" t="s">
        <v>56</v>
      </c>
      <c r="E503" t="s">
        <v>57</v>
      </c>
      <c r="F503" t="s">
        <v>25</v>
      </c>
      <c r="G503" t="s">
        <v>26</v>
      </c>
      <c r="H503" t="s">
        <v>71</v>
      </c>
      <c r="I503">
        <v>3</v>
      </c>
      <c r="J503">
        <v>7494.45</v>
      </c>
      <c r="K503">
        <v>2118.9</v>
      </c>
      <c r="L503">
        <v>15</v>
      </c>
      <c r="M503" t="s">
        <v>40</v>
      </c>
      <c r="N503" t="str">
        <f>TEXT(Table1[[#This Row],[Order Date]],"MMMM")</f>
        <v>May</v>
      </c>
      <c r="O503">
        <f>YEAR(Table1[[#This Row],[Order Date]])</f>
        <v>2025</v>
      </c>
      <c r="P503" t="str">
        <f>"Q"&amp;ROUNDUP(MONTH(Table1[[#This Row],[Order Date]])/3,0)</f>
        <v>Q2</v>
      </c>
      <c r="Q503" s="3">
        <f>Table1[[#This Row],[Profit]]/Table1[[#This Row],[Sales]]</f>
        <v>0.28272921962252068</v>
      </c>
      <c r="R503" t="str">
        <f>IF(Table1[[#This Row],[Sales]]&lt;1000,"LOW",IF(Table1[[#This Row],[Sales]]&lt;5000,"MEDIUM","HIGH"))</f>
        <v>HIGH</v>
      </c>
      <c r="S503" s="2">
        <f>Table1[[#This Row],[Discount]]/100</f>
        <v>0.15</v>
      </c>
    </row>
    <row r="504" spans="1:19" x14ac:dyDescent="0.3">
      <c r="A504">
        <v>10503</v>
      </c>
      <c r="B504" s="1" t="s">
        <v>358</v>
      </c>
      <c r="C504" t="s">
        <v>148</v>
      </c>
      <c r="D504" t="s">
        <v>23</v>
      </c>
      <c r="E504" t="s">
        <v>24</v>
      </c>
      <c r="F504" t="s">
        <v>17</v>
      </c>
      <c r="G504" t="s">
        <v>18</v>
      </c>
      <c r="H504" t="s">
        <v>19</v>
      </c>
      <c r="I504">
        <v>4</v>
      </c>
      <c r="J504">
        <v>18718.8</v>
      </c>
      <c r="K504">
        <v>4878.9399999999996</v>
      </c>
      <c r="L504">
        <v>5</v>
      </c>
      <c r="M504" t="s">
        <v>28</v>
      </c>
      <c r="N504" t="str">
        <f>TEXT(Table1[[#This Row],[Order Date]],"MMMM")</f>
        <v>October</v>
      </c>
      <c r="O504">
        <f>YEAR(Table1[[#This Row],[Order Date]])</f>
        <v>2025</v>
      </c>
      <c r="P504" t="str">
        <f>"Q"&amp;ROUNDUP(MONTH(Table1[[#This Row],[Order Date]])/3,0)</f>
        <v>Q4</v>
      </c>
      <c r="Q504" s="3">
        <f>Table1[[#This Row],[Profit]]/Table1[[#This Row],[Sales]]</f>
        <v>0.26064384469089896</v>
      </c>
      <c r="R504" t="str">
        <f>IF(Table1[[#This Row],[Sales]]&lt;1000,"LOW",IF(Table1[[#This Row],[Sales]]&lt;5000,"MEDIUM","HIGH"))</f>
        <v>HIGH</v>
      </c>
      <c r="S504" s="2">
        <f>Table1[[#This Row],[Discount]]/100</f>
        <v>0.05</v>
      </c>
    </row>
    <row r="505" spans="1:19" x14ac:dyDescent="0.3">
      <c r="A505">
        <v>10504</v>
      </c>
      <c r="B505" s="1" t="s">
        <v>505</v>
      </c>
      <c r="C505" t="s">
        <v>269</v>
      </c>
      <c r="D505" t="s">
        <v>66</v>
      </c>
      <c r="E505" t="s">
        <v>16</v>
      </c>
      <c r="F505" t="s">
        <v>31</v>
      </c>
      <c r="G505" t="s">
        <v>124</v>
      </c>
      <c r="H505" t="s">
        <v>125</v>
      </c>
      <c r="I505">
        <v>8</v>
      </c>
      <c r="J505">
        <v>20902.400000000001</v>
      </c>
      <c r="K505">
        <v>5131.16</v>
      </c>
      <c r="L505">
        <v>20</v>
      </c>
      <c r="M505" t="s">
        <v>49</v>
      </c>
      <c r="N505" t="str">
        <f>TEXT(Table1[[#This Row],[Order Date]],"MMMM")</f>
        <v>December</v>
      </c>
      <c r="O505">
        <f>YEAR(Table1[[#This Row],[Order Date]])</f>
        <v>2025</v>
      </c>
      <c r="P505" t="str">
        <f>"Q"&amp;ROUNDUP(MONTH(Table1[[#This Row],[Order Date]])/3,0)</f>
        <v>Q4</v>
      </c>
      <c r="Q505" s="3">
        <f>Table1[[#This Row],[Profit]]/Table1[[#This Row],[Sales]]</f>
        <v>0.24548185854255969</v>
      </c>
      <c r="R505" t="str">
        <f>IF(Table1[[#This Row],[Sales]]&lt;1000,"LOW",IF(Table1[[#This Row],[Sales]]&lt;5000,"MEDIUM","HIGH"))</f>
        <v>HIGH</v>
      </c>
      <c r="S505" s="2">
        <f>Table1[[#This Row],[Discount]]/100</f>
        <v>0.2</v>
      </c>
    </row>
    <row r="506" spans="1:19" x14ac:dyDescent="0.3">
      <c r="A506">
        <v>10505</v>
      </c>
      <c r="B506" s="1" t="s">
        <v>476</v>
      </c>
      <c r="C506" t="s">
        <v>255</v>
      </c>
      <c r="D506" t="s">
        <v>60</v>
      </c>
      <c r="E506" t="s">
        <v>61</v>
      </c>
      <c r="F506" t="s">
        <v>25</v>
      </c>
      <c r="G506" t="s">
        <v>26</v>
      </c>
      <c r="H506" t="s">
        <v>48</v>
      </c>
      <c r="I506">
        <v>7</v>
      </c>
      <c r="J506">
        <v>20767.95</v>
      </c>
      <c r="K506">
        <v>4778.95</v>
      </c>
      <c r="L506">
        <v>5</v>
      </c>
      <c r="M506" t="s">
        <v>20</v>
      </c>
      <c r="N506" t="str">
        <f>TEXT(Table1[[#This Row],[Order Date]],"MMMM")</f>
        <v>March</v>
      </c>
      <c r="O506">
        <f>YEAR(Table1[[#This Row],[Order Date]])</f>
        <v>2025</v>
      </c>
      <c r="P506" t="str">
        <f>"Q"&amp;ROUNDUP(MONTH(Table1[[#This Row],[Order Date]])/3,0)</f>
        <v>Q1</v>
      </c>
      <c r="Q506" s="3">
        <f>Table1[[#This Row],[Profit]]/Table1[[#This Row],[Sales]]</f>
        <v>0.23011178281919975</v>
      </c>
      <c r="R506" t="str">
        <f>IF(Table1[[#This Row],[Sales]]&lt;1000,"LOW",IF(Table1[[#This Row],[Sales]]&lt;5000,"MEDIUM","HIGH"))</f>
        <v>HIGH</v>
      </c>
      <c r="S506" s="2">
        <f>Table1[[#This Row],[Discount]]/100</f>
        <v>0.05</v>
      </c>
    </row>
    <row r="507" spans="1:19" x14ac:dyDescent="0.3">
      <c r="A507">
        <v>10506</v>
      </c>
      <c r="B507" s="1" t="s">
        <v>242</v>
      </c>
      <c r="C507" t="s">
        <v>391</v>
      </c>
      <c r="D507" t="s">
        <v>56</v>
      </c>
      <c r="E507" t="s">
        <v>57</v>
      </c>
      <c r="F507" t="s">
        <v>17</v>
      </c>
      <c r="G507" t="s">
        <v>75</v>
      </c>
      <c r="H507" t="s">
        <v>116</v>
      </c>
      <c r="I507">
        <v>8</v>
      </c>
      <c r="J507">
        <v>14001.2</v>
      </c>
      <c r="K507">
        <v>1667.53</v>
      </c>
      <c r="L507">
        <v>15</v>
      </c>
      <c r="M507" t="s">
        <v>28</v>
      </c>
      <c r="N507" t="str">
        <f>TEXT(Table1[[#This Row],[Order Date]],"MMMM")</f>
        <v>November</v>
      </c>
      <c r="O507">
        <f>YEAR(Table1[[#This Row],[Order Date]])</f>
        <v>2025</v>
      </c>
      <c r="P507" t="str">
        <f>"Q"&amp;ROUNDUP(MONTH(Table1[[#This Row],[Order Date]])/3,0)</f>
        <v>Q4</v>
      </c>
      <c r="Q507" s="3">
        <f>Table1[[#This Row],[Profit]]/Table1[[#This Row],[Sales]]</f>
        <v>0.1190990772219524</v>
      </c>
      <c r="R507" t="str">
        <f>IF(Table1[[#This Row],[Sales]]&lt;1000,"LOW",IF(Table1[[#This Row],[Sales]]&lt;5000,"MEDIUM","HIGH"))</f>
        <v>HIGH</v>
      </c>
      <c r="S507" s="2">
        <f>Table1[[#This Row],[Discount]]/100</f>
        <v>0.15</v>
      </c>
    </row>
    <row r="508" spans="1:19" x14ac:dyDescent="0.3">
      <c r="A508">
        <v>10507</v>
      </c>
      <c r="B508" s="1" t="s">
        <v>215</v>
      </c>
      <c r="C508" t="s">
        <v>445</v>
      </c>
      <c r="D508" t="s">
        <v>60</v>
      </c>
      <c r="E508" t="s">
        <v>61</v>
      </c>
      <c r="F508" t="s">
        <v>31</v>
      </c>
      <c r="G508" t="s">
        <v>38</v>
      </c>
      <c r="H508" t="s">
        <v>39</v>
      </c>
      <c r="I508">
        <v>6</v>
      </c>
      <c r="J508">
        <v>20369.400000000001</v>
      </c>
      <c r="K508">
        <v>5987.09</v>
      </c>
      <c r="L508">
        <v>15</v>
      </c>
      <c r="M508" t="s">
        <v>28</v>
      </c>
      <c r="N508" t="str">
        <f>TEXT(Table1[[#This Row],[Order Date]],"MMMM")</f>
        <v>April</v>
      </c>
      <c r="O508">
        <f>YEAR(Table1[[#This Row],[Order Date]])</f>
        <v>2025</v>
      </c>
      <c r="P508" t="str">
        <f>"Q"&amp;ROUNDUP(MONTH(Table1[[#This Row],[Order Date]])/3,0)</f>
        <v>Q2</v>
      </c>
      <c r="Q508" s="3">
        <f>Table1[[#This Row],[Profit]]/Table1[[#This Row],[Sales]]</f>
        <v>0.29392569246025901</v>
      </c>
      <c r="R508" t="str">
        <f>IF(Table1[[#This Row],[Sales]]&lt;1000,"LOW",IF(Table1[[#This Row],[Sales]]&lt;5000,"MEDIUM","HIGH"))</f>
        <v>HIGH</v>
      </c>
      <c r="S508" s="2">
        <f>Table1[[#This Row],[Discount]]/100</f>
        <v>0.15</v>
      </c>
    </row>
    <row r="509" spans="1:19" x14ac:dyDescent="0.3">
      <c r="A509">
        <v>10508</v>
      </c>
      <c r="B509" s="1" t="s">
        <v>284</v>
      </c>
      <c r="C509" t="s">
        <v>506</v>
      </c>
      <c r="D509" t="s">
        <v>60</v>
      </c>
      <c r="E509" t="s">
        <v>61</v>
      </c>
      <c r="F509" t="s">
        <v>25</v>
      </c>
      <c r="G509" t="s">
        <v>95</v>
      </c>
      <c r="H509" t="s">
        <v>96</v>
      </c>
      <c r="I509">
        <v>5</v>
      </c>
      <c r="J509">
        <v>7868</v>
      </c>
      <c r="K509">
        <v>2108.13</v>
      </c>
      <c r="L509">
        <v>20</v>
      </c>
      <c r="M509" t="s">
        <v>49</v>
      </c>
      <c r="N509" t="str">
        <f>TEXT(Table1[[#This Row],[Order Date]],"MMMM")</f>
        <v>June</v>
      </c>
      <c r="O509">
        <f>YEAR(Table1[[#This Row],[Order Date]])</f>
        <v>2025</v>
      </c>
      <c r="P509" t="str">
        <f>"Q"&amp;ROUNDUP(MONTH(Table1[[#This Row],[Order Date]])/3,0)</f>
        <v>Q2</v>
      </c>
      <c r="Q509" s="3">
        <f>Table1[[#This Row],[Profit]]/Table1[[#This Row],[Sales]]</f>
        <v>0.2679372140315201</v>
      </c>
      <c r="R509" t="str">
        <f>IF(Table1[[#This Row],[Sales]]&lt;1000,"LOW",IF(Table1[[#This Row],[Sales]]&lt;5000,"MEDIUM","HIGH"))</f>
        <v>HIGH</v>
      </c>
      <c r="S509" s="2">
        <f>Table1[[#This Row],[Discount]]/100</f>
        <v>0.2</v>
      </c>
    </row>
    <row r="510" spans="1:19" x14ac:dyDescent="0.3">
      <c r="A510">
        <v>10509</v>
      </c>
      <c r="B510" s="1" t="s">
        <v>478</v>
      </c>
      <c r="C510" t="s">
        <v>233</v>
      </c>
      <c r="D510" t="s">
        <v>74</v>
      </c>
      <c r="E510" t="s">
        <v>74</v>
      </c>
      <c r="F510" t="s">
        <v>17</v>
      </c>
      <c r="G510" t="s">
        <v>75</v>
      </c>
      <c r="H510" t="s">
        <v>76</v>
      </c>
      <c r="I510">
        <v>6</v>
      </c>
      <c r="J510">
        <v>2510.4</v>
      </c>
      <c r="K510">
        <v>361.13</v>
      </c>
      <c r="L510">
        <v>20</v>
      </c>
      <c r="M510" t="s">
        <v>49</v>
      </c>
      <c r="N510" t="str">
        <f>TEXT(Table1[[#This Row],[Order Date]],"MMMM")</f>
        <v>November</v>
      </c>
      <c r="O510">
        <f>YEAR(Table1[[#This Row],[Order Date]])</f>
        <v>2025</v>
      </c>
      <c r="P510" t="str">
        <f>"Q"&amp;ROUNDUP(MONTH(Table1[[#This Row],[Order Date]])/3,0)</f>
        <v>Q4</v>
      </c>
      <c r="Q510" s="3">
        <f>Table1[[#This Row],[Profit]]/Table1[[#This Row],[Sales]]</f>
        <v>0.1438535691523263</v>
      </c>
      <c r="R510" t="str">
        <f>IF(Table1[[#This Row],[Sales]]&lt;1000,"LOW",IF(Table1[[#This Row],[Sales]]&lt;5000,"MEDIUM","HIGH"))</f>
        <v>MEDIUM</v>
      </c>
      <c r="S510" s="2">
        <f>Table1[[#This Row],[Discount]]/100</f>
        <v>0.2</v>
      </c>
    </row>
    <row r="511" spans="1:19" x14ac:dyDescent="0.3">
      <c r="A511">
        <v>10510</v>
      </c>
      <c r="B511" s="1" t="s">
        <v>316</v>
      </c>
      <c r="C511" t="s">
        <v>428</v>
      </c>
      <c r="D511" t="s">
        <v>66</v>
      </c>
      <c r="E511" t="s">
        <v>16</v>
      </c>
      <c r="F511" t="s">
        <v>31</v>
      </c>
      <c r="G511" t="s">
        <v>38</v>
      </c>
      <c r="H511" t="s">
        <v>39</v>
      </c>
      <c r="I511">
        <v>7</v>
      </c>
      <c r="J511">
        <v>20742.400000000001</v>
      </c>
      <c r="K511">
        <v>4240.3500000000004</v>
      </c>
      <c r="L511">
        <v>20</v>
      </c>
      <c r="M511" t="s">
        <v>45</v>
      </c>
      <c r="N511" t="str">
        <f>TEXT(Table1[[#This Row],[Order Date]],"MMMM")</f>
        <v>December</v>
      </c>
      <c r="O511">
        <f>YEAR(Table1[[#This Row],[Order Date]])</f>
        <v>2025</v>
      </c>
      <c r="P511" t="str">
        <f>"Q"&amp;ROUNDUP(MONTH(Table1[[#This Row],[Order Date]])/3,0)</f>
        <v>Q4</v>
      </c>
      <c r="Q511" s="3">
        <f>Table1[[#This Row],[Profit]]/Table1[[#This Row],[Sales]]</f>
        <v>0.20442909210120333</v>
      </c>
      <c r="R511" t="str">
        <f>IF(Table1[[#This Row],[Sales]]&lt;1000,"LOW",IF(Table1[[#This Row],[Sales]]&lt;5000,"MEDIUM","HIGH"))</f>
        <v>HIGH</v>
      </c>
      <c r="S511" s="2">
        <f>Table1[[#This Row],[Discount]]/100</f>
        <v>0.2</v>
      </c>
    </row>
    <row r="512" spans="1:19" x14ac:dyDescent="0.3">
      <c r="A512">
        <v>10511</v>
      </c>
      <c r="B512" s="1" t="s">
        <v>507</v>
      </c>
      <c r="C512" t="s">
        <v>342</v>
      </c>
      <c r="D512" t="s">
        <v>66</v>
      </c>
      <c r="E512" t="s">
        <v>16</v>
      </c>
      <c r="F512" t="s">
        <v>31</v>
      </c>
      <c r="G512" t="s">
        <v>124</v>
      </c>
      <c r="H512" t="s">
        <v>125</v>
      </c>
      <c r="I512">
        <v>3</v>
      </c>
      <c r="J512">
        <v>9396.75</v>
      </c>
      <c r="K512">
        <v>1052.5999999999999</v>
      </c>
      <c r="L512">
        <v>15</v>
      </c>
      <c r="M512" t="s">
        <v>40</v>
      </c>
      <c r="N512" t="str">
        <f>TEXT(Table1[[#This Row],[Order Date]],"MMMM")</f>
        <v>August</v>
      </c>
      <c r="O512">
        <f>YEAR(Table1[[#This Row],[Order Date]])</f>
        <v>2025</v>
      </c>
      <c r="P512" t="str">
        <f>"Q"&amp;ROUNDUP(MONTH(Table1[[#This Row],[Order Date]])/3,0)</f>
        <v>Q3</v>
      </c>
      <c r="Q512" s="3">
        <f>Table1[[#This Row],[Profit]]/Table1[[#This Row],[Sales]]</f>
        <v>0.11201745284273817</v>
      </c>
      <c r="R512" t="str">
        <f>IF(Table1[[#This Row],[Sales]]&lt;1000,"LOW",IF(Table1[[#This Row],[Sales]]&lt;5000,"MEDIUM","HIGH"))</f>
        <v>HIGH</v>
      </c>
      <c r="S512" s="2">
        <f>Table1[[#This Row],[Discount]]/100</f>
        <v>0.15</v>
      </c>
    </row>
    <row r="513" spans="1:19" x14ac:dyDescent="0.3">
      <c r="A513">
        <v>10512</v>
      </c>
      <c r="B513" s="1" t="s">
        <v>508</v>
      </c>
      <c r="C513" t="s">
        <v>208</v>
      </c>
      <c r="D513" t="s">
        <v>15</v>
      </c>
      <c r="E513" t="s">
        <v>16</v>
      </c>
      <c r="F513" t="s">
        <v>17</v>
      </c>
      <c r="G513" t="s">
        <v>75</v>
      </c>
      <c r="H513" t="s">
        <v>116</v>
      </c>
      <c r="I513">
        <v>2</v>
      </c>
      <c r="J513">
        <v>8886</v>
      </c>
      <c r="K513">
        <v>2555.71</v>
      </c>
      <c r="L513">
        <v>0</v>
      </c>
      <c r="M513" t="s">
        <v>49</v>
      </c>
      <c r="N513" t="str">
        <f>TEXT(Table1[[#This Row],[Order Date]],"MMMM")</f>
        <v>September</v>
      </c>
      <c r="O513">
        <f>YEAR(Table1[[#This Row],[Order Date]])</f>
        <v>2025</v>
      </c>
      <c r="P513" t="str">
        <f>"Q"&amp;ROUNDUP(MONTH(Table1[[#This Row],[Order Date]])/3,0)</f>
        <v>Q3</v>
      </c>
      <c r="Q513" s="3">
        <f>Table1[[#This Row],[Profit]]/Table1[[#This Row],[Sales]]</f>
        <v>0.2876108485257709</v>
      </c>
      <c r="R513" t="str">
        <f>IF(Table1[[#This Row],[Sales]]&lt;1000,"LOW",IF(Table1[[#This Row],[Sales]]&lt;5000,"MEDIUM","HIGH"))</f>
        <v>HIGH</v>
      </c>
      <c r="S513" s="2">
        <f>Table1[[#This Row],[Discount]]/100</f>
        <v>0</v>
      </c>
    </row>
    <row r="514" spans="1:19" x14ac:dyDescent="0.3">
      <c r="A514">
        <v>10513</v>
      </c>
      <c r="B514" s="1" t="s">
        <v>483</v>
      </c>
      <c r="C514" t="s">
        <v>42</v>
      </c>
      <c r="D514" t="s">
        <v>15</v>
      </c>
      <c r="E514" t="s">
        <v>16</v>
      </c>
      <c r="F514" t="s">
        <v>25</v>
      </c>
      <c r="G514" t="s">
        <v>26</v>
      </c>
      <c r="H514" t="s">
        <v>27</v>
      </c>
      <c r="I514">
        <v>2</v>
      </c>
      <c r="J514">
        <v>4854</v>
      </c>
      <c r="K514">
        <v>935.93</v>
      </c>
      <c r="L514">
        <v>0</v>
      </c>
      <c r="M514" t="s">
        <v>20</v>
      </c>
      <c r="N514" t="str">
        <f>TEXT(Table1[[#This Row],[Order Date]],"MMMM")</f>
        <v>December</v>
      </c>
      <c r="O514">
        <f>YEAR(Table1[[#This Row],[Order Date]])</f>
        <v>2025</v>
      </c>
      <c r="P514" t="str">
        <f>"Q"&amp;ROUNDUP(MONTH(Table1[[#This Row],[Order Date]])/3,0)</f>
        <v>Q4</v>
      </c>
      <c r="Q514" s="3">
        <f>Table1[[#This Row],[Profit]]/Table1[[#This Row],[Sales]]</f>
        <v>0.19281623403378656</v>
      </c>
      <c r="R514" t="str">
        <f>IF(Table1[[#This Row],[Sales]]&lt;1000,"LOW",IF(Table1[[#This Row],[Sales]]&lt;5000,"MEDIUM","HIGH"))</f>
        <v>MEDIUM</v>
      </c>
      <c r="S514" s="2">
        <f>Table1[[#This Row],[Discount]]/100</f>
        <v>0</v>
      </c>
    </row>
    <row r="515" spans="1:19" x14ac:dyDescent="0.3">
      <c r="A515">
        <v>10514</v>
      </c>
      <c r="B515" s="1" t="s">
        <v>427</v>
      </c>
      <c r="C515" t="s">
        <v>504</v>
      </c>
      <c r="D515" t="s">
        <v>56</v>
      </c>
      <c r="E515" t="s">
        <v>57</v>
      </c>
      <c r="F515" t="s">
        <v>25</v>
      </c>
      <c r="G515" t="s">
        <v>26</v>
      </c>
      <c r="H515" t="s">
        <v>27</v>
      </c>
      <c r="I515">
        <v>2</v>
      </c>
      <c r="J515">
        <v>958.8</v>
      </c>
      <c r="K515">
        <v>147.6</v>
      </c>
      <c r="L515">
        <v>15</v>
      </c>
      <c r="M515" t="s">
        <v>20</v>
      </c>
      <c r="N515" t="str">
        <f>TEXT(Table1[[#This Row],[Order Date]],"MMMM")</f>
        <v>December</v>
      </c>
      <c r="O515">
        <f>YEAR(Table1[[#This Row],[Order Date]])</f>
        <v>2025</v>
      </c>
      <c r="P515" t="str">
        <f>"Q"&amp;ROUNDUP(MONTH(Table1[[#This Row],[Order Date]])/3,0)</f>
        <v>Q4</v>
      </c>
      <c r="Q515" s="3">
        <f>Table1[[#This Row],[Profit]]/Table1[[#This Row],[Sales]]</f>
        <v>0.15394242803504379</v>
      </c>
      <c r="R515" t="str">
        <f>IF(Table1[[#This Row],[Sales]]&lt;1000,"LOW",IF(Table1[[#This Row],[Sales]]&lt;5000,"MEDIUM","HIGH"))</f>
        <v>LOW</v>
      </c>
      <c r="S515" s="2">
        <f>Table1[[#This Row],[Discount]]/100</f>
        <v>0.15</v>
      </c>
    </row>
    <row r="516" spans="1:19" x14ac:dyDescent="0.3">
      <c r="A516">
        <v>10515</v>
      </c>
      <c r="B516" s="1" t="s">
        <v>398</v>
      </c>
      <c r="C516" t="s">
        <v>174</v>
      </c>
      <c r="D516" t="s">
        <v>66</v>
      </c>
      <c r="E516" t="s">
        <v>16</v>
      </c>
      <c r="F516" t="s">
        <v>17</v>
      </c>
      <c r="G516" t="s">
        <v>75</v>
      </c>
      <c r="H516" t="s">
        <v>116</v>
      </c>
      <c r="I516">
        <v>8</v>
      </c>
      <c r="J516">
        <v>33775.199999999997</v>
      </c>
      <c r="K516">
        <v>9601.7199999999993</v>
      </c>
      <c r="L516">
        <v>10</v>
      </c>
      <c r="M516" t="s">
        <v>49</v>
      </c>
      <c r="N516" t="str">
        <f>TEXT(Table1[[#This Row],[Order Date]],"MMMM")</f>
        <v>March</v>
      </c>
      <c r="O516">
        <f>YEAR(Table1[[#This Row],[Order Date]])</f>
        <v>2025</v>
      </c>
      <c r="P516" t="str">
        <f>"Q"&amp;ROUNDUP(MONTH(Table1[[#This Row],[Order Date]])/3,0)</f>
        <v>Q1</v>
      </c>
      <c r="Q516" s="3">
        <f>Table1[[#This Row],[Profit]]/Table1[[#This Row],[Sales]]</f>
        <v>0.28428314266088728</v>
      </c>
      <c r="R516" t="str">
        <f>IF(Table1[[#This Row],[Sales]]&lt;1000,"LOW",IF(Table1[[#This Row],[Sales]]&lt;5000,"MEDIUM","HIGH"))</f>
        <v>HIGH</v>
      </c>
      <c r="S516" s="2">
        <f>Table1[[#This Row],[Discount]]/100</f>
        <v>0.1</v>
      </c>
    </row>
    <row r="517" spans="1:19" x14ac:dyDescent="0.3">
      <c r="A517">
        <v>10516</v>
      </c>
      <c r="B517" s="1" t="s">
        <v>499</v>
      </c>
      <c r="C517" t="s">
        <v>246</v>
      </c>
      <c r="D517" t="s">
        <v>15</v>
      </c>
      <c r="E517" t="s">
        <v>16</v>
      </c>
      <c r="F517" t="s">
        <v>31</v>
      </c>
      <c r="G517" t="s">
        <v>32</v>
      </c>
      <c r="H517" t="s">
        <v>33</v>
      </c>
      <c r="I517">
        <v>6</v>
      </c>
      <c r="J517">
        <v>1524</v>
      </c>
      <c r="K517">
        <v>407.85</v>
      </c>
      <c r="L517">
        <v>0</v>
      </c>
      <c r="M517" t="s">
        <v>49</v>
      </c>
      <c r="N517" t="str">
        <f>TEXT(Table1[[#This Row],[Order Date]],"MMMM")</f>
        <v>February</v>
      </c>
      <c r="O517">
        <f>YEAR(Table1[[#This Row],[Order Date]])</f>
        <v>2025</v>
      </c>
      <c r="P517" t="str">
        <f>"Q"&amp;ROUNDUP(MONTH(Table1[[#This Row],[Order Date]])/3,0)</f>
        <v>Q1</v>
      </c>
      <c r="Q517" s="3">
        <f>Table1[[#This Row],[Profit]]/Table1[[#This Row],[Sales]]</f>
        <v>0.26761811023622051</v>
      </c>
      <c r="R517" t="str">
        <f>IF(Table1[[#This Row],[Sales]]&lt;1000,"LOW",IF(Table1[[#This Row],[Sales]]&lt;5000,"MEDIUM","HIGH"))</f>
        <v>MEDIUM</v>
      </c>
      <c r="S517" s="2">
        <f>Table1[[#This Row],[Discount]]/100</f>
        <v>0</v>
      </c>
    </row>
    <row r="518" spans="1:19" x14ac:dyDescent="0.3">
      <c r="A518">
        <v>10517</v>
      </c>
      <c r="B518" s="1" t="s">
        <v>242</v>
      </c>
      <c r="C518" t="s">
        <v>283</v>
      </c>
      <c r="D518" t="s">
        <v>23</v>
      </c>
      <c r="E518" t="s">
        <v>24</v>
      </c>
      <c r="F518" t="s">
        <v>25</v>
      </c>
      <c r="G518" t="s">
        <v>26</v>
      </c>
      <c r="H518" t="s">
        <v>27</v>
      </c>
      <c r="I518">
        <v>1</v>
      </c>
      <c r="J518">
        <v>1515</v>
      </c>
      <c r="K518">
        <v>328.26</v>
      </c>
      <c r="L518">
        <v>0</v>
      </c>
      <c r="M518" t="s">
        <v>45</v>
      </c>
      <c r="N518" t="str">
        <f>TEXT(Table1[[#This Row],[Order Date]],"MMMM")</f>
        <v>November</v>
      </c>
      <c r="O518">
        <f>YEAR(Table1[[#This Row],[Order Date]])</f>
        <v>2025</v>
      </c>
      <c r="P518" t="str">
        <f>"Q"&amp;ROUNDUP(MONTH(Table1[[#This Row],[Order Date]])/3,0)</f>
        <v>Q4</v>
      </c>
      <c r="Q518" s="3">
        <f>Table1[[#This Row],[Profit]]/Table1[[#This Row],[Sales]]</f>
        <v>0.21667326732673267</v>
      </c>
      <c r="R518" t="str">
        <f>IF(Table1[[#This Row],[Sales]]&lt;1000,"LOW",IF(Table1[[#This Row],[Sales]]&lt;5000,"MEDIUM","HIGH"))</f>
        <v>MEDIUM</v>
      </c>
      <c r="S518" s="2">
        <f>Table1[[#This Row],[Discount]]/100</f>
        <v>0</v>
      </c>
    </row>
    <row r="519" spans="1:19" x14ac:dyDescent="0.3">
      <c r="A519">
        <v>10518</v>
      </c>
      <c r="B519" s="1" t="s">
        <v>509</v>
      </c>
      <c r="C519" t="s">
        <v>177</v>
      </c>
      <c r="D519" t="s">
        <v>60</v>
      </c>
      <c r="E519" t="s">
        <v>61</v>
      </c>
      <c r="F519" t="s">
        <v>17</v>
      </c>
      <c r="G519" t="s">
        <v>43</v>
      </c>
      <c r="H519" t="s">
        <v>44</v>
      </c>
      <c r="I519">
        <v>5</v>
      </c>
      <c r="J519">
        <v>10999</v>
      </c>
      <c r="K519">
        <v>2834.92</v>
      </c>
      <c r="L519">
        <v>15</v>
      </c>
      <c r="M519" t="s">
        <v>45</v>
      </c>
      <c r="N519" t="str">
        <f>TEXT(Table1[[#This Row],[Order Date]],"MMMM")</f>
        <v>December</v>
      </c>
      <c r="O519">
        <f>YEAR(Table1[[#This Row],[Order Date]])</f>
        <v>2025</v>
      </c>
      <c r="P519" t="str">
        <f>"Q"&amp;ROUNDUP(MONTH(Table1[[#This Row],[Order Date]])/3,0)</f>
        <v>Q4</v>
      </c>
      <c r="Q519" s="3">
        <f>Table1[[#This Row],[Profit]]/Table1[[#This Row],[Sales]]</f>
        <v>0.25774343122102011</v>
      </c>
      <c r="R519" t="str">
        <f>IF(Table1[[#This Row],[Sales]]&lt;1000,"LOW",IF(Table1[[#This Row],[Sales]]&lt;5000,"MEDIUM","HIGH"))</f>
        <v>HIGH</v>
      </c>
      <c r="S519" s="2">
        <f>Table1[[#This Row],[Discount]]/100</f>
        <v>0.15</v>
      </c>
    </row>
    <row r="520" spans="1:19" x14ac:dyDescent="0.3">
      <c r="A520">
        <v>10519</v>
      </c>
      <c r="B520" s="1" t="s">
        <v>336</v>
      </c>
      <c r="C520" t="s">
        <v>510</v>
      </c>
      <c r="D520" t="s">
        <v>74</v>
      </c>
      <c r="E520" t="s">
        <v>74</v>
      </c>
      <c r="F520" t="s">
        <v>17</v>
      </c>
      <c r="G520" t="s">
        <v>75</v>
      </c>
      <c r="H520" t="s">
        <v>116</v>
      </c>
      <c r="I520">
        <v>4</v>
      </c>
      <c r="J520">
        <v>7663.6</v>
      </c>
      <c r="K520">
        <v>2167.6</v>
      </c>
      <c r="L520">
        <v>15</v>
      </c>
      <c r="M520" t="s">
        <v>20</v>
      </c>
      <c r="N520" t="str">
        <f>TEXT(Table1[[#This Row],[Order Date]],"MMMM")</f>
        <v>February</v>
      </c>
      <c r="O520">
        <f>YEAR(Table1[[#This Row],[Order Date]])</f>
        <v>2025</v>
      </c>
      <c r="P520" t="str">
        <f>"Q"&amp;ROUNDUP(MONTH(Table1[[#This Row],[Order Date]])/3,0)</f>
        <v>Q1</v>
      </c>
      <c r="Q520" s="3">
        <f>Table1[[#This Row],[Profit]]/Table1[[#This Row],[Sales]]</f>
        <v>0.28284357221149325</v>
      </c>
      <c r="R520" t="str">
        <f>IF(Table1[[#This Row],[Sales]]&lt;1000,"LOW",IF(Table1[[#This Row],[Sales]]&lt;5000,"MEDIUM","HIGH"))</f>
        <v>HIGH</v>
      </c>
      <c r="S520" s="2">
        <f>Table1[[#This Row],[Discount]]/100</f>
        <v>0.15</v>
      </c>
    </row>
    <row r="521" spans="1:19" x14ac:dyDescent="0.3">
      <c r="A521">
        <v>10520</v>
      </c>
      <c r="B521" s="1" t="s">
        <v>351</v>
      </c>
      <c r="C521" t="s">
        <v>35</v>
      </c>
      <c r="D521" t="s">
        <v>36</v>
      </c>
      <c r="E521" t="s">
        <v>37</v>
      </c>
      <c r="F521" t="s">
        <v>31</v>
      </c>
      <c r="G521" t="s">
        <v>38</v>
      </c>
      <c r="H521" t="s">
        <v>39</v>
      </c>
      <c r="I521">
        <v>6</v>
      </c>
      <c r="J521">
        <v>9835.2000000000007</v>
      </c>
      <c r="K521">
        <v>1642.32</v>
      </c>
      <c r="L521">
        <v>20</v>
      </c>
      <c r="M521" t="s">
        <v>40</v>
      </c>
      <c r="N521" t="str">
        <f>TEXT(Table1[[#This Row],[Order Date]],"MMMM")</f>
        <v>May</v>
      </c>
      <c r="O521">
        <f>YEAR(Table1[[#This Row],[Order Date]])</f>
        <v>2025</v>
      </c>
      <c r="P521" t="str">
        <f>"Q"&amp;ROUNDUP(MONTH(Table1[[#This Row],[Order Date]])/3,0)</f>
        <v>Q2</v>
      </c>
      <c r="Q521" s="3">
        <f>Table1[[#This Row],[Profit]]/Table1[[#This Row],[Sales]]</f>
        <v>0.16698389458272325</v>
      </c>
      <c r="R521" t="str">
        <f>IF(Table1[[#This Row],[Sales]]&lt;1000,"LOW",IF(Table1[[#This Row],[Sales]]&lt;5000,"MEDIUM","HIGH"))</f>
        <v>HIGH</v>
      </c>
      <c r="S521" s="2">
        <f>Table1[[#This Row],[Discount]]/100</f>
        <v>0.2</v>
      </c>
    </row>
    <row r="522" spans="1:19" x14ac:dyDescent="0.3">
      <c r="A522">
        <v>10521</v>
      </c>
      <c r="B522" s="1" t="s">
        <v>375</v>
      </c>
      <c r="C522" t="s">
        <v>174</v>
      </c>
      <c r="D522" t="s">
        <v>66</v>
      </c>
      <c r="E522" t="s">
        <v>16</v>
      </c>
      <c r="F522" t="s">
        <v>17</v>
      </c>
      <c r="G522" t="s">
        <v>18</v>
      </c>
      <c r="H522" t="s">
        <v>19</v>
      </c>
      <c r="I522">
        <v>7</v>
      </c>
      <c r="J522">
        <v>4036.55</v>
      </c>
      <c r="K522">
        <v>362.29</v>
      </c>
      <c r="L522">
        <v>5</v>
      </c>
      <c r="M522" t="s">
        <v>28</v>
      </c>
      <c r="N522" t="str">
        <f>TEXT(Table1[[#This Row],[Order Date]],"MMMM")</f>
        <v>June</v>
      </c>
      <c r="O522">
        <f>YEAR(Table1[[#This Row],[Order Date]])</f>
        <v>2025</v>
      </c>
      <c r="P522" t="str">
        <f>"Q"&amp;ROUNDUP(MONTH(Table1[[#This Row],[Order Date]])/3,0)</f>
        <v>Q2</v>
      </c>
      <c r="Q522" s="3">
        <f>Table1[[#This Row],[Profit]]/Table1[[#This Row],[Sales]]</f>
        <v>8.9752387558682534E-2</v>
      </c>
      <c r="R522" t="str">
        <f>IF(Table1[[#This Row],[Sales]]&lt;1000,"LOW",IF(Table1[[#This Row],[Sales]]&lt;5000,"MEDIUM","HIGH"))</f>
        <v>MEDIUM</v>
      </c>
      <c r="S522" s="2">
        <f>Table1[[#This Row],[Discount]]/100</f>
        <v>0.05</v>
      </c>
    </row>
    <row r="523" spans="1:19" x14ac:dyDescent="0.3">
      <c r="A523">
        <v>10522</v>
      </c>
      <c r="B523" s="1" t="s">
        <v>122</v>
      </c>
      <c r="C523" t="s">
        <v>511</v>
      </c>
      <c r="D523" t="s">
        <v>66</v>
      </c>
      <c r="E523" t="s">
        <v>16</v>
      </c>
      <c r="F523" t="s">
        <v>31</v>
      </c>
      <c r="G523" t="s">
        <v>124</v>
      </c>
      <c r="H523" t="s">
        <v>125</v>
      </c>
      <c r="I523">
        <v>1</v>
      </c>
      <c r="J523">
        <v>164.05</v>
      </c>
      <c r="K523">
        <v>29.28</v>
      </c>
      <c r="L523">
        <v>15</v>
      </c>
      <c r="M523" t="s">
        <v>45</v>
      </c>
      <c r="N523" t="str">
        <f>TEXT(Table1[[#This Row],[Order Date]],"MMMM")</f>
        <v>September</v>
      </c>
      <c r="O523">
        <f>YEAR(Table1[[#This Row],[Order Date]])</f>
        <v>2025</v>
      </c>
      <c r="P523" t="str">
        <f>"Q"&amp;ROUNDUP(MONTH(Table1[[#This Row],[Order Date]])/3,0)</f>
        <v>Q3</v>
      </c>
      <c r="Q523" s="3">
        <f>Table1[[#This Row],[Profit]]/Table1[[#This Row],[Sales]]</f>
        <v>0.17848217007010056</v>
      </c>
      <c r="R523" t="str">
        <f>IF(Table1[[#This Row],[Sales]]&lt;1000,"LOW",IF(Table1[[#This Row],[Sales]]&lt;5000,"MEDIUM","HIGH"))</f>
        <v>LOW</v>
      </c>
      <c r="S523" s="2">
        <f>Table1[[#This Row],[Discount]]/100</f>
        <v>0.15</v>
      </c>
    </row>
    <row r="524" spans="1:19" x14ac:dyDescent="0.3">
      <c r="A524">
        <v>10523</v>
      </c>
      <c r="B524" s="1" t="s">
        <v>421</v>
      </c>
      <c r="C524" t="s">
        <v>187</v>
      </c>
      <c r="D524" t="s">
        <v>36</v>
      </c>
      <c r="E524" t="s">
        <v>37</v>
      </c>
      <c r="F524" t="s">
        <v>17</v>
      </c>
      <c r="G524" t="s">
        <v>18</v>
      </c>
      <c r="H524" t="s">
        <v>19</v>
      </c>
      <c r="I524">
        <v>5</v>
      </c>
      <c r="J524">
        <v>19835</v>
      </c>
      <c r="K524">
        <v>4335.58</v>
      </c>
      <c r="L524">
        <v>0</v>
      </c>
      <c r="M524" t="s">
        <v>40</v>
      </c>
      <c r="N524" t="str">
        <f>TEXT(Table1[[#This Row],[Order Date]],"MMMM")</f>
        <v>April</v>
      </c>
      <c r="O524">
        <f>YEAR(Table1[[#This Row],[Order Date]])</f>
        <v>2025</v>
      </c>
      <c r="P524" t="str">
        <f>"Q"&amp;ROUNDUP(MONTH(Table1[[#This Row],[Order Date]])/3,0)</f>
        <v>Q2</v>
      </c>
      <c r="Q524" s="3">
        <f>Table1[[#This Row],[Profit]]/Table1[[#This Row],[Sales]]</f>
        <v>0.21858230400806655</v>
      </c>
      <c r="R524" t="str">
        <f>IF(Table1[[#This Row],[Sales]]&lt;1000,"LOW",IF(Table1[[#This Row],[Sales]]&lt;5000,"MEDIUM","HIGH"))</f>
        <v>HIGH</v>
      </c>
      <c r="S524" s="2">
        <f>Table1[[#This Row],[Discount]]/100</f>
        <v>0</v>
      </c>
    </row>
    <row r="525" spans="1:19" x14ac:dyDescent="0.3">
      <c r="A525">
        <v>10524</v>
      </c>
      <c r="B525" s="1" t="s">
        <v>512</v>
      </c>
      <c r="C525" t="s">
        <v>445</v>
      </c>
      <c r="D525" t="s">
        <v>60</v>
      </c>
      <c r="E525" t="s">
        <v>61</v>
      </c>
      <c r="F525" t="s">
        <v>31</v>
      </c>
      <c r="G525" t="s">
        <v>124</v>
      </c>
      <c r="H525" t="s">
        <v>125</v>
      </c>
      <c r="I525">
        <v>4</v>
      </c>
      <c r="J525">
        <v>1648</v>
      </c>
      <c r="K525">
        <v>314.27</v>
      </c>
      <c r="L525">
        <v>20</v>
      </c>
      <c r="M525" t="s">
        <v>20</v>
      </c>
      <c r="N525" t="str">
        <f>TEXT(Table1[[#This Row],[Order Date]],"MMMM")</f>
        <v>April</v>
      </c>
      <c r="O525">
        <f>YEAR(Table1[[#This Row],[Order Date]])</f>
        <v>2025</v>
      </c>
      <c r="P525" t="str">
        <f>"Q"&amp;ROUNDUP(MONTH(Table1[[#This Row],[Order Date]])/3,0)</f>
        <v>Q2</v>
      </c>
      <c r="Q525" s="3">
        <f>Table1[[#This Row],[Profit]]/Table1[[#This Row],[Sales]]</f>
        <v>0.19069781553398057</v>
      </c>
      <c r="R525" t="str">
        <f>IF(Table1[[#This Row],[Sales]]&lt;1000,"LOW",IF(Table1[[#This Row],[Sales]]&lt;5000,"MEDIUM","HIGH"))</f>
        <v>MEDIUM</v>
      </c>
      <c r="S525" s="2">
        <f>Table1[[#This Row],[Discount]]/100</f>
        <v>0.2</v>
      </c>
    </row>
    <row r="526" spans="1:19" x14ac:dyDescent="0.3">
      <c r="A526">
        <v>10525</v>
      </c>
      <c r="B526" s="1" t="s">
        <v>513</v>
      </c>
      <c r="C526" t="s">
        <v>216</v>
      </c>
      <c r="D526" t="s">
        <v>60</v>
      </c>
      <c r="E526" t="s">
        <v>61</v>
      </c>
      <c r="F526" t="s">
        <v>17</v>
      </c>
      <c r="G526" t="s">
        <v>75</v>
      </c>
      <c r="H526" t="s">
        <v>76</v>
      </c>
      <c r="I526">
        <v>3</v>
      </c>
      <c r="J526">
        <v>3121.2</v>
      </c>
      <c r="K526">
        <v>342.67</v>
      </c>
      <c r="L526">
        <v>15</v>
      </c>
      <c r="M526" t="s">
        <v>20</v>
      </c>
      <c r="N526" t="str">
        <f>TEXT(Table1[[#This Row],[Order Date]],"MMMM")</f>
        <v>August</v>
      </c>
      <c r="O526">
        <f>YEAR(Table1[[#This Row],[Order Date]])</f>
        <v>2025</v>
      </c>
      <c r="P526" t="str">
        <f>"Q"&amp;ROUNDUP(MONTH(Table1[[#This Row],[Order Date]])/3,0)</f>
        <v>Q3</v>
      </c>
      <c r="Q526" s="3">
        <f>Table1[[#This Row],[Profit]]/Table1[[#This Row],[Sales]]</f>
        <v>0.10978790208894017</v>
      </c>
      <c r="R526" t="str">
        <f>IF(Table1[[#This Row],[Sales]]&lt;1000,"LOW",IF(Table1[[#This Row],[Sales]]&lt;5000,"MEDIUM","HIGH"))</f>
        <v>MEDIUM</v>
      </c>
      <c r="S526" s="2">
        <f>Table1[[#This Row],[Discount]]/100</f>
        <v>0.15</v>
      </c>
    </row>
    <row r="527" spans="1:19" x14ac:dyDescent="0.3">
      <c r="A527">
        <v>10526</v>
      </c>
      <c r="B527" s="1" t="s">
        <v>514</v>
      </c>
      <c r="C527" t="s">
        <v>357</v>
      </c>
      <c r="D527" t="s">
        <v>60</v>
      </c>
      <c r="E527" t="s">
        <v>61</v>
      </c>
      <c r="F527" t="s">
        <v>25</v>
      </c>
      <c r="G527" t="s">
        <v>26</v>
      </c>
      <c r="H527" t="s">
        <v>27</v>
      </c>
      <c r="I527">
        <v>5</v>
      </c>
      <c r="J527">
        <v>6935</v>
      </c>
      <c r="K527">
        <v>1105.83</v>
      </c>
      <c r="L527">
        <v>5</v>
      </c>
      <c r="M527" t="s">
        <v>49</v>
      </c>
      <c r="N527" t="str">
        <f>TEXT(Table1[[#This Row],[Order Date]],"MMMM")</f>
        <v>November</v>
      </c>
      <c r="O527">
        <f>YEAR(Table1[[#This Row],[Order Date]])</f>
        <v>2025</v>
      </c>
      <c r="P527" t="str">
        <f>"Q"&amp;ROUNDUP(MONTH(Table1[[#This Row],[Order Date]])/3,0)</f>
        <v>Q4</v>
      </c>
      <c r="Q527" s="3">
        <f>Table1[[#This Row],[Profit]]/Table1[[#This Row],[Sales]]</f>
        <v>0.15945638067772169</v>
      </c>
      <c r="R527" t="str">
        <f>IF(Table1[[#This Row],[Sales]]&lt;1000,"LOW",IF(Table1[[#This Row],[Sales]]&lt;5000,"MEDIUM","HIGH"))</f>
        <v>HIGH</v>
      </c>
      <c r="S527" s="2">
        <f>Table1[[#This Row],[Discount]]/100</f>
        <v>0.05</v>
      </c>
    </row>
    <row r="528" spans="1:19" x14ac:dyDescent="0.3">
      <c r="A528">
        <v>10527</v>
      </c>
      <c r="B528" s="1" t="s">
        <v>515</v>
      </c>
      <c r="C528" t="s">
        <v>500</v>
      </c>
      <c r="D528" t="s">
        <v>23</v>
      </c>
      <c r="E528" t="s">
        <v>24</v>
      </c>
      <c r="F528" t="s">
        <v>25</v>
      </c>
      <c r="G528" t="s">
        <v>26</v>
      </c>
      <c r="H528" t="s">
        <v>48</v>
      </c>
      <c r="I528">
        <v>6</v>
      </c>
      <c r="J528">
        <v>20946.599999999999</v>
      </c>
      <c r="K528">
        <v>4736.55</v>
      </c>
      <c r="L528">
        <v>10</v>
      </c>
      <c r="M528" t="s">
        <v>49</v>
      </c>
      <c r="N528" t="str">
        <f>TEXT(Table1[[#This Row],[Order Date]],"MMMM")</f>
        <v>September</v>
      </c>
      <c r="O528">
        <f>YEAR(Table1[[#This Row],[Order Date]])</f>
        <v>2025</v>
      </c>
      <c r="P528" t="str">
        <f>"Q"&amp;ROUNDUP(MONTH(Table1[[#This Row],[Order Date]])/3,0)</f>
        <v>Q3</v>
      </c>
      <c r="Q528" s="3">
        <f>Table1[[#This Row],[Profit]]/Table1[[#This Row],[Sales]]</f>
        <v>0.22612500358053339</v>
      </c>
      <c r="R528" t="str">
        <f>IF(Table1[[#This Row],[Sales]]&lt;1000,"LOW",IF(Table1[[#This Row],[Sales]]&lt;5000,"MEDIUM","HIGH"))</f>
        <v>HIGH</v>
      </c>
      <c r="S528" s="2">
        <f>Table1[[#This Row],[Discount]]/100</f>
        <v>0.1</v>
      </c>
    </row>
    <row r="529" spans="1:19" x14ac:dyDescent="0.3">
      <c r="A529">
        <v>10528</v>
      </c>
      <c r="B529" s="1" t="s">
        <v>305</v>
      </c>
      <c r="C529" t="s">
        <v>347</v>
      </c>
      <c r="D529" t="s">
        <v>15</v>
      </c>
      <c r="E529" t="s">
        <v>16</v>
      </c>
      <c r="F529" t="s">
        <v>25</v>
      </c>
      <c r="G529" t="s">
        <v>95</v>
      </c>
      <c r="H529" t="s">
        <v>96</v>
      </c>
      <c r="I529">
        <v>5</v>
      </c>
      <c r="J529">
        <v>8144</v>
      </c>
      <c r="K529">
        <v>1110.7</v>
      </c>
      <c r="L529">
        <v>20</v>
      </c>
      <c r="M529" t="s">
        <v>40</v>
      </c>
      <c r="N529" t="str">
        <f>TEXT(Table1[[#This Row],[Order Date]],"MMMM")</f>
        <v>July</v>
      </c>
      <c r="O529">
        <f>YEAR(Table1[[#This Row],[Order Date]])</f>
        <v>2025</v>
      </c>
      <c r="P529" t="str">
        <f>"Q"&amp;ROUNDUP(MONTH(Table1[[#This Row],[Order Date]])/3,0)</f>
        <v>Q3</v>
      </c>
      <c r="Q529" s="3">
        <f>Table1[[#This Row],[Profit]]/Table1[[#This Row],[Sales]]</f>
        <v>0.13638261296660117</v>
      </c>
      <c r="R529" t="str">
        <f>IF(Table1[[#This Row],[Sales]]&lt;1000,"LOW",IF(Table1[[#This Row],[Sales]]&lt;5000,"MEDIUM","HIGH"))</f>
        <v>HIGH</v>
      </c>
      <c r="S529" s="2">
        <f>Table1[[#This Row],[Discount]]/100</f>
        <v>0.2</v>
      </c>
    </row>
    <row r="530" spans="1:19" x14ac:dyDescent="0.3">
      <c r="A530">
        <v>10529</v>
      </c>
      <c r="B530" s="1" t="s">
        <v>331</v>
      </c>
      <c r="C530" t="s">
        <v>269</v>
      </c>
      <c r="D530" t="s">
        <v>74</v>
      </c>
      <c r="E530" t="s">
        <v>74</v>
      </c>
      <c r="F530" t="s">
        <v>31</v>
      </c>
      <c r="G530" t="s">
        <v>89</v>
      </c>
      <c r="H530" t="s">
        <v>90</v>
      </c>
      <c r="I530">
        <v>7</v>
      </c>
      <c r="J530">
        <v>5163.2</v>
      </c>
      <c r="K530">
        <v>1025.96</v>
      </c>
      <c r="L530">
        <v>20</v>
      </c>
      <c r="M530" t="s">
        <v>28</v>
      </c>
      <c r="N530" t="str">
        <f>TEXT(Table1[[#This Row],[Order Date]],"MMMM")</f>
        <v>October</v>
      </c>
      <c r="O530">
        <f>YEAR(Table1[[#This Row],[Order Date]])</f>
        <v>2025</v>
      </c>
      <c r="P530" t="str">
        <f>"Q"&amp;ROUNDUP(MONTH(Table1[[#This Row],[Order Date]])/3,0)</f>
        <v>Q4</v>
      </c>
      <c r="Q530" s="3">
        <f>Table1[[#This Row],[Profit]]/Table1[[#This Row],[Sales]]</f>
        <v>0.19870622869538274</v>
      </c>
      <c r="R530" t="str">
        <f>IF(Table1[[#This Row],[Sales]]&lt;1000,"LOW",IF(Table1[[#This Row],[Sales]]&lt;5000,"MEDIUM","HIGH"))</f>
        <v>HIGH</v>
      </c>
      <c r="S530" s="2">
        <f>Table1[[#This Row],[Discount]]/100</f>
        <v>0.2</v>
      </c>
    </row>
    <row r="531" spans="1:19" x14ac:dyDescent="0.3">
      <c r="A531">
        <v>10530</v>
      </c>
      <c r="B531" s="1" t="s">
        <v>516</v>
      </c>
      <c r="C531" t="s">
        <v>342</v>
      </c>
      <c r="D531" t="s">
        <v>52</v>
      </c>
      <c r="E531" t="s">
        <v>53</v>
      </c>
      <c r="F531" t="s">
        <v>25</v>
      </c>
      <c r="G531" t="s">
        <v>26</v>
      </c>
      <c r="H531" t="s">
        <v>27</v>
      </c>
      <c r="I531">
        <v>5</v>
      </c>
      <c r="J531">
        <v>524</v>
      </c>
      <c r="K531">
        <v>84.07</v>
      </c>
      <c r="L531">
        <v>20</v>
      </c>
      <c r="M531" t="s">
        <v>45</v>
      </c>
      <c r="N531" t="str">
        <f>TEXT(Table1[[#This Row],[Order Date]],"MMMM")</f>
        <v>February</v>
      </c>
      <c r="O531">
        <f>YEAR(Table1[[#This Row],[Order Date]])</f>
        <v>2025</v>
      </c>
      <c r="P531" t="str">
        <f>"Q"&amp;ROUNDUP(MONTH(Table1[[#This Row],[Order Date]])/3,0)</f>
        <v>Q1</v>
      </c>
      <c r="Q531" s="3">
        <f>Table1[[#This Row],[Profit]]/Table1[[#This Row],[Sales]]</f>
        <v>0.16043893129770992</v>
      </c>
      <c r="R531" t="str">
        <f>IF(Table1[[#This Row],[Sales]]&lt;1000,"LOW",IF(Table1[[#This Row],[Sales]]&lt;5000,"MEDIUM","HIGH"))</f>
        <v>LOW</v>
      </c>
      <c r="S531" s="2">
        <f>Table1[[#This Row],[Discount]]/100</f>
        <v>0.2</v>
      </c>
    </row>
    <row r="532" spans="1:19" x14ac:dyDescent="0.3">
      <c r="A532">
        <v>10531</v>
      </c>
      <c r="B532" s="1" t="s">
        <v>110</v>
      </c>
      <c r="C532" t="s">
        <v>223</v>
      </c>
      <c r="D532" t="s">
        <v>74</v>
      </c>
      <c r="E532" t="s">
        <v>74</v>
      </c>
      <c r="F532" t="s">
        <v>25</v>
      </c>
      <c r="G532" t="s">
        <v>26</v>
      </c>
      <c r="H532" t="s">
        <v>27</v>
      </c>
      <c r="I532">
        <v>4</v>
      </c>
      <c r="J532">
        <v>15144</v>
      </c>
      <c r="K532">
        <v>4337.25</v>
      </c>
      <c r="L532">
        <v>0</v>
      </c>
      <c r="M532" t="s">
        <v>40</v>
      </c>
      <c r="N532" t="str">
        <f>TEXT(Table1[[#This Row],[Order Date]],"MMMM")</f>
        <v>April</v>
      </c>
      <c r="O532">
        <f>YEAR(Table1[[#This Row],[Order Date]])</f>
        <v>2025</v>
      </c>
      <c r="P532" t="str">
        <f>"Q"&amp;ROUNDUP(MONTH(Table1[[#This Row],[Order Date]])/3,0)</f>
        <v>Q2</v>
      </c>
      <c r="Q532" s="3">
        <f>Table1[[#This Row],[Profit]]/Table1[[#This Row],[Sales]]</f>
        <v>0.28640055467511888</v>
      </c>
      <c r="R532" t="str">
        <f>IF(Table1[[#This Row],[Sales]]&lt;1000,"LOW",IF(Table1[[#This Row],[Sales]]&lt;5000,"MEDIUM","HIGH"))</f>
        <v>HIGH</v>
      </c>
      <c r="S532" s="2">
        <f>Table1[[#This Row],[Discount]]/100</f>
        <v>0</v>
      </c>
    </row>
    <row r="533" spans="1:19" x14ac:dyDescent="0.3">
      <c r="A533">
        <v>10532</v>
      </c>
      <c r="B533" s="1" t="s">
        <v>67</v>
      </c>
      <c r="C533" t="s">
        <v>139</v>
      </c>
      <c r="D533" t="s">
        <v>66</v>
      </c>
      <c r="E533" t="s">
        <v>16</v>
      </c>
      <c r="F533" t="s">
        <v>25</v>
      </c>
      <c r="G533" t="s">
        <v>95</v>
      </c>
      <c r="H533" t="s">
        <v>96</v>
      </c>
      <c r="I533">
        <v>5</v>
      </c>
      <c r="J533">
        <v>14845.25</v>
      </c>
      <c r="K533">
        <v>2716.07</v>
      </c>
      <c r="L533">
        <v>15</v>
      </c>
      <c r="M533" t="s">
        <v>20</v>
      </c>
      <c r="N533" t="str">
        <f>TEXT(Table1[[#This Row],[Order Date]],"MMMM")</f>
        <v>October</v>
      </c>
      <c r="O533">
        <f>YEAR(Table1[[#This Row],[Order Date]])</f>
        <v>2025</v>
      </c>
      <c r="P533" t="str">
        <f>"Q"&amp;ROUNDUP(MONTH(Table1[[#This Row],[Order Date]])/3,0)</f>
        <v>Q4</v>
      </c>
      <c r="Q533" s="3">
        <f>Table1[[#This Row],[Profit]]/Table1[[#This Row],[Sales]]</f>
        <v>0.18295885889425911</v>
      </c>
      <c r="R533" t="str">
        <f>IF(Table1[[#This Row],[Sales]]&lt;1000,"LOW",IF(Table1[[#This Row],[Sales]]&lt;5000,"MEDIUM","HIGH"))</f>
        <v>HIGH</v>
      </c>
      <c r="S533" s="2">
        <f>Table1[[#This Row],[Discount]]/100</f>
        <v>0.15</v>
      </c>
    </row>
    <row r="534" spans="1:19" x14ac:dyDescent="0.3">
      <c r="A534">
        <v>10533</v>
      </c>
      <c r="B534" s="1" t="s">
        <v>329</v>
      </c>
      <c r="C534" t="s">
        <v>370</v>
      </c>
      <c r="D534" t="s">
        <v>15</v>
      </c>
      <c r="E534" t="s">
        <v>16</v>
      </c>
      <c r="F534" t="s">
        <v>25</v>
      </c>
      <c r="G534" t="s">
        <v>26</v>
      </c>
      <c r="H534" t="s">
        <v>27</v>
      </c>
      <c r="I534">
        <v>6</v>
      </c>
      <c r="J534">
        <v>3330</v>
      </c>
      <c r="K534">
        <v>605.44000000000005</v>
      </c>
      <c r="L534">
        <v>0</v>
      </c>
      <c r="M534" t="s">
        <v>40</v>
      </c>
      <c r="N534" t="str">
        <f>TEXT(Table1[[#This Row],[Order Date]],"MMMM")</f>
        <v>August</v>
      </c>
      <c r="O534">
        <f>YEAR(Table1[[#This Row],[Order Date]])</f>
        <v>2025</v>
      </c>
      <c r="P534" t="str">
        <f>"Q"&amp;ROUNDUP(MONTH(Table1[[#This Row],[Order Date]])/3,0)</f>
        <v>Q3</v>
      </c>
      <c r="Q534" s="3">
        <f>Table1[[#This Row],[Profit]]/Table1[[#This Row],[Sales]]</f>
        <v>0.18181381381381384</v>
      </c>
      <c r="R534" t="str">
        <f>IF(Table1[[#This Row],[Sales]]&lt;1000,"LOW",IF(Table1[[#This Row],[Sales]]&lt;5000,"MEDIUM","HIGH"))</f>
        <v>MEDIUM</v>
      </c>
      <c r="S534" s="2">
        <f>Table1[[#This Row],[Discount]]/100</f>
        <v>0</v>
      </c>
    </row>
    <row r="535" spans="1:19" x14ac:dyDescent="0.3">
      <c r="A535">
        <v>10534</v>
      </c>
      <c r="B535" s="1" t="s">
        <v>340</v>
      </c>
      <c r="C535" t="s">
        <v>489</v>
      </c>
      <c r="D535" t="s">
        <v>66</v>
      </c>
      <c r="E535" t="s">
        <v>16</v>
      </c>
      <c r="F535" t="s">
        <v>17</v>
      </c>
      <c r="G535" t="s">
        <v>75</v>
      </c>
      <c r="H535" t="s">
        <v>116</v>
      </c>
      <c r="I535">
        <v>8</v>
      </c>
      <c r="J535">
        <v>17027.2</v>
      </c>
      <c r="K535">
        <v>3419.62</v>
      </c>
      <c r="L535">
        <v>15</v>
      </c>
      <c r="M535" t="s">
        <v>49</v>
      </c>
      <c r="N535" t="str">
        <f>TEXT(Table1[[#This Row],[Order Date]],"MMMM")</f>
        <v>November</v>
      </c>
      <c r="O535">
        <f>YEAR(Table1[[#This Row],[Order Date]])</f>
        <v>2025</v>
      </c>
      <c r="P535" t="str">
        <f>"Q"&amp;ROUNDUP(MONTH(Table1[[#This Row],[Order Date]])/3,0)</f>
        <v>Q4</v>
      </c>
      <c r="Q535" s="3">
        <f>Table1[[#This Row],[Profit]]/Table1[[#This Row],[Sales]]</f>
        <v>0.20083278519075359</v>
      </c>
      <c r="R535" t="str">
        <f>IF(Table1[[#This Row],[Sales]]&lt;1000,"LOW",IF(Table1[[#This Row],[Sales]]&lt;5000,"MEDIUM","HIGH"))</f>
        <v>HIGH</v>
      </c>
      <c r="S535" s="2">
        <f>Table1[[#This Row],[Discount]]/100</f>
        <v>0.15</v>
      </c>
    </row>
    <row r="536" spans="1:19" x14ac:dyDescent="0.3">
      <c r="A536">
        <v>10535</v>
      </c>
      <c r="B536" s="1" t="s">
        <v>512</v>
      </c>
      <c r="C536" t="s">
        <v>258</v>
      </c>
      <c r="D536" t="s">
        <v>36</v>
      </c>
      <c r="E536" t="s">
        <v>37</v>
      </c>
      <c r="F536" t="s">
        <v>25</v>
      </c>
      <c r="G536" t="s">
        <v>95</v>
      </c>
      <c r="H536" t="s">
        <v>96</v>
      </c>
      <c r="I536">
        <v>2</v>
      </c>
      <c r="J536">
        <v>8884.7999999999993</v>
      </c>
      <c r="K536">
        <v>1200.05</v>
      </c>
      <c r="L536">
        <v>10</v>
      </c>
      <c r="M536" t="s">
        <v>40</v>
      </c>
      <c r="N536" t="str">
        <f>TEXT(Table1[[#This Row],[Order Date]],"MMMM")</f>
        <v>April</v>
      </c>
      <c r="O536">
        <f>YEAR(Table1[[#This Row],[Order Date]])</f>
        <v>2025</v>
      </c>
      <c r="P536" t="str">
        <f>"Q"&amp;ROUNDUP(MONTH(Table1[[#This Row],[Order Date]])/3,0)</f>
        <v>Q2</v>
      </c>
      <c r="Q536" s="3">
        <f>Table1[[#This Row],[Profit]]/Table1[[#This Row],[Sales]]</f>
        <v>0.1350677561678372</v>
      </c>
      <c r="R536" t="str">
        <f>IF(Table1[[#This Row],[Sales]]&lt;1000,"LOW",IF(Table1[[#This Row],[Sales]]&lt;5000,"MEDIUM","HIGH"))</f>
        <v>HIGH</v>
      </c>
      <c r="S536" s="2">
        <f>Table1[[#This Row],[Discount]]/100</f>
        <v>0.1</v>
      </c>
    </row>
    <row r="537" spans="1:19" x14ac:dyDescent="0.3">
      <c r="A537">
        <v>10536</v>
      </c>
      <c r="B537" s="1" t="s">
        <v>517</v>
      </c>
      <c r="C537" t="s">
        <v>118</v>
      </c>
      <c r="D537" t="s">
        <v>52</v>
      </c>
      <c r="E537" t="s">
        <v>53</v>
      </c>
      <c r="F537" t="s">
        <v>17</v>
      </c>
      <c r="G537" t="s">
        <v>18</v>
      </c>
      <c r="H537" t="s">
        <v>19</v>
      </c>
      <c r="I537">
        <v>4</v>
      </c>
      <c r="J537">
        <v>10856.6</v>
      </c>
      <c r="K537">
        <v>1048.81</v>
      </c>
      <c r="L537">
        <v>5</v>
      </c>
      <c r="M537" t="s">
        <v>49</v>
      </c>
      <c r="N537" t="str">
        <f>TEXT(Table1[[#This Row],[Order Date]],"MMMM")</f>
        <v>March</v>
      </c>
      <c r="O537">
        <f>YEAR(Table1[[#This Row],[Order Date]])</f>
        <v>2025</v>
      </c>
      <c r="P537" t="str">
        <f>"Q"&amp;ROUNDUP(MONTH(Table1[[#This Row],[Order Date]])/3,0)</f>
        <v>Q1</v>
      </c>
      <c r="Q537" s="3">
        <f>Table1[[#This Row],[Profit]]/Table1[[#This Row],[Sales]]</f>
        <v>9.6605751340198581E-2</v>
      </c>
      <c r="R537" t="str">
        <f>IF(Table1[[#This Row],[Sales]]&lt;1000,"LOW",IF(Table1[[#This Row],[Sales]]&lt;5000,"MEDIUM","HIGH"))</f>
        <v>HIGH</v>
      </c>
      <c r="S537" s="2">
        <f>Table1[[#This Row],[Discount]]/100</f>
        <v>0.05</v>
      </c>
    </row>
    <row r="538" spans="1:19" x14ac:dyDescent="0.3">
      <c r="A538">
        <v>10537</v>
      </c>
      <c r="B538" s="1" t="s">
        <v>299</v>
      </c>
      <c r="C538" t="s">
        <v>370</v>
      </c>
      <c r="D538" t="s">
        <v>36</v>
      </c>
      <c r="E538" t="s">
        <v>37</v>
      </c>
      <c r="F538" t="s">
        <v>31</v>
      </c>
      <c r="G538" t="s">
        <v>38</v>
      </c>
      <c r="H538" t="s">
        <v>39</v>
      </c>
      <c r="I538">
        <v>5</v>
      </c>
      <c r="J538">
        <v>21865</v>
      </c>
      <c r="K538">
        <v>5205.96</v>
      </c>
      <c r="L538">
        <v>0</v>
      </c>
      <c r="M538" t="s">
        <v>45</v>
      </c>
      <c r="N538" t="str">
        <f>TEXT(Table1[[#This Row],[Order Date]],"MMMM")</f>
        <v>February</v>
      </c>
      <c r="O538">
        <f>YEAR(Table1[[#This Row],[Order Date]])</f>
        <v>2025</v>
      </c>
      <c r="P538" t="str">
        <f>"Q"&amp;ROUNDUP(MONTH(Table1[[#This Row],[Order Date]])/3,0)</f>
        <v>Q1</v>
      </c>
      <c r="Q538" s="3">
        <f>Table1[[#This Row],[Profit]]/Table1[[#This Row],[Sales]]</f>
        <v>0.23809558655385318</v>
      </c>
      <c r="R538" t="str">
        <f>IF(Table1[[#This Row],[Sales]]&lt;1000,"LOW",IF(Table1[[#This Row],[Sales]]&lt;5000,"MEDIUM","HIGH"))</f>
        <v>HIGH</v>
      </c>
      <c r="S538" s="2">
        <f>Table1[[#This Row],[Discount]]/100</f>
        <v>0</v>
      </c>
    </row>
    <row r="539" spans="1:19" x14ac:dyDescent="0.3">
      <c r="A539">
        <v>10538</v>
      </c>
      <c r="B539" s="1" t="s">
        <v>373</v>
      </c>
      <c r="C539" t="s">
        <v>377</v>
      </c>
      <c r="D539" t="s">
        <v>52</v>
      </c>
      <c r="E539" t="s">
        <v>53</v>
      </c>
      <c r="F539" t="s">
        <v>31</v>
      </c>
      <c r="G539" t="s">
        <v>32</v>
      </c>
      <c r="H539" t="s">
        <v>33</v>
      </c>
      <c r="I539">
        <v>6</v>
      </c>
      <c r="J539">
        <v>10995.6</v>
      </c>
      <c r="K539">
        <v>2269.1</v>
      </c>
      <c r="L539">
        <v>15</v>
      </c>
      <c r="M539" t="s">
        <v>28</v>
      </c>
      <c r="N539" t="str">
        <f>TEXT(Table1[[#This Row],[Order Date]],"MMMM")</f>
        <v>January</v>
      </c>
      <c r="O539">
        <f>YEAR(Table1[[#This Row],[Order Date]])</f>
        <v>2025</v>
      </c>
      <c r="P539" t="str">
        <f>"Q"&amp;ROUNDUP(MONTH(Table1[[#This Row],[Order Date]])/3,0)</f>
        <v>Q1</v>
      </c>
      <c r="Q539" s="3">
        <f>Table1[[#This Row],[Profit]]/Table1[[#This Row],[Sales]]</f>
        <v>0.20636436392738913</v>
      </c>
      <c r="R539" t="str">
        <f>IF(Table1[[#This Row],[Sales]]&lt;1000,"LOW",IF(Table1[[#This Row],[Sales]]&lt;5000,"MEDIUM","HIGH"))</f>
        <v>HIGH</v>
      </c>
      <c r="S539" s="2">
        <f>Table1[[#This Row],[Discount]]/100</f>
        <v>0.15</v>
      </c>
    </row>
    <row r="540" spans="1:19" x14ac:dyDescent="0.3">
      <c r="A540">
        <v>10539</v>
      </c>
      <c r="B540" s="1" t="s">
        <v>205</v>
      </c>
      <c r="C540" t="s">
        <v>68</v>
      </c>
      <c r="D540" t="s">
        <v>66</v>
      </c>
      <c r="E540" t="s">
        <v>16</v>
      </c>
      <c r="F540" t="s">
        <v>31</v>
      </c>
      <c r="G540" t="s">
        <v>38</v>
      </c>
      <c r="H540" t="s">
        <v>39</v>
      </c>
      <c r="I540">
        <v>7</v>
      </c>
      <c r="J540">
        <v>18377.099999999999</v>
      </c>
      <c r="K540">
        <v>5050.1000000000004</v>
      </c>
      <c r="L540">
        <v>10</v>
      </c>
      <c r="M540" t="s">
        <v>40</v>
      </c>
      <c r="N540" t="str">
        <f>TEXT(Table1[[#This Row],[Order Date]],"MMMM")</f>
        <v>March</v>
      </c>
      <c r="O540">
        <f>YEAR(Table1[[#This Row],[Order Date]])</f>
        <v>2025</v>
      </c>
      <c r="P540" t="str">
        <f>"Q"&amp;ROUNDUP(MONTH(Table1[[#This Row],[Order Date]])/3,0)</f>
        <v>Q1</v>
      </c>
      <c r="Q540" s="3">
        <f>Table1[[#This Row],[Profit]]/Table1[[#This Row],[Sales]]</f>
        <v>0.27480396798189055</v>
      </c>
      <c r="R540" t="str">
        <f>IF(Table1[[#This Row],[Sales]]&lt;1000,"LOW",IF(Table1[[#This Row],[Sales]]&lt;5000,"MEDIUM","HIGH"))</f>
        <v>HIGH</v>
      </c>
      <c r="S540" s="2">
        <f>Table1[[#This Row],[Discount]]/100</f>
        <v>0.1</v>
      </c>
    </row>
    <row r="541" spans="1:19" x14ac:dyDescent="0.3">
      <c r="A541">
        <v>10540</v>
      </c>
      <c r="B541" s="1" t="s">
        <v>518</v>
      </c>
      <c r="C541" t="s">
        <v>445</v>
      </c>
      <c r="D541" t="s">
        <v>74</v>
      </c>
      <c r="E541" t="s">
        <v>74</v>
      </c>
      <c r="F541" t="s">
        <v>25</v>
      </c>
      <c r="G541" t="s">
        <v>26</v>
      </c>
      <c r="H541" t="s">
        <v>48</v>
      </c>
      <c r="I541">
        <v>6</v>
      </c>
      <c r="J541">
        <v>7293</v>
      </c>
      <c r="K541">
        <v>1861.44</v>
      </c>
      <c r="L541">
        <v>15</v>
      </c>
      <c r="M541" t="s">
        <v>28</v>
      </c>
      <c r="N541" t="str">
        <f>TEXT(Table1[[#This Row],[Order Date]],"MMMM")</f>
        <v>January</v>
      </c>
      <c r="O541">
        <f>YEAR(Table1[[#This Row],[Order Date]])</f>
        <v>2025</v>
      </c>
      <c r="P541" t="str">
        <f>"Q"&amp;ROUNDUP(MONTH(Table1[[#This Row],[Order Date]])/3,0)</f>
        <v>Q1</v>
      </c>
      <c r="Q541" s="3">
        <f>Table1[[#This Row],[Profit]]/Table1[[#This Row],[Sales]]</f>
        <v>0.25523652817770465</v>
      </c>
      <c r="R541" t="str">
        <f>IF(Table1[[#This Row],[Sales]]&lt;1000,"LOW",IF(Table1[[#This Row],[Sales]]&lt;5000,"MEDIUM","HIGH"))</f>
        <v>HIGH</v>
      </c>
      <c r="S541" s="2">
        <f>Table1[[#This Row],[Discount]]/100</f>
        <v>0.15</v>
      </c>
    </row>
    <row r="542" spans="1:19" x14ac:dyDescent="0.3">
      <c r="A542">
        <v>10541</v>
      </c>
      <c r="B542" s="1" t="s">
        <v>447</v>
      </c>
      <c r="C542" t="s">
        <v>391</v>
      </c>
      <c r="D542" t="s">
        <v>74</v>
      </c>
      <c r="E542" t="s">
        <v>74</v>
      </c>
      <c r="F542" t="s">
        <v>17</v>
      </c>
      <c r="G542" t="s">
        <v>75</v>
      </c>
      <c r="H542" t="s">
        <v>76</v>
      </c>
      <c r="I542">
        <v>4</v>
      </c>
      <c r="J542">
        <v>12420.2</v>
      </c>
      <c r="K542">
        <v>2991.88</v>
      </c>
      <c r="L542">
        <v>15</v>
      </c>
      <c r="M542" t="s">
        <v>40</v>
      </c>
      <c r="N542" t="str">
        <f>TEXT(Table1[[#This Row],[Order Date]],"MMMM")</f>
        <v>August</v>
      </c>
      <c r="O542">
        <f>YEAR(Table1[[#This Row],[Order Date]])</f>
        <v>2025</v>
      </c>
      <c r="P542" t="str">
        <f>"Q"&amp;ROUNDUP(MONTH(Table1[[#This Row],[Order Date]])/3,0)</f>
        <v>Q3</v>
      </c>
      <c r="Q542" s="3">
        <f>Table1[[#This Row],[Profit]]/Table1[[#This Row],[Sales]]</f>
        <v>0.24088823046327756</v>
      </c>
      <c r="R542" t="str">
        <f>IF(Table1[[#This Row],[Sales]]&lt;1000,"LOW",IF(Table1[[#This Row],[Sales]]&lt;5000,"MEDIUM","HIGH"))</f>
        <v>HIGH</v>
      </c>
      <c r="S542" s="2">
        <f>Table1[[#This Row],[Discount]]/100</f>
        <v>0.15</v>
      </c>
    </row>
    <row r="543" spans="1:19" x14ac:dyDescent="0.3">
      <c r="A543">
        <v>10542</v>
      </c>
      <c r="B543" s="1" t="s">
        <v>446</v>
      </c>
      <c r="C543" t="s">
        <v>206</v>
      </c>
      <c r="D543" t="s">
        <v>74</v>
      </c>
      <c r="E543" t="s">
        <v>74</v>
      </c>
      <c r="F543" t="s">
        <v>17</v>
      </c>
      <c r="G543" t="s">
        <v>75</v>
      </c>
      <c r="H543" t="s">
        <v>116</v>
      </c>
      <c r="I543">
        <v>1</v>
      </c>
      <c r="J543">
        <v>1253.05</v>
      </c>
      <c r="K543">
        <v>202.1</v>
      </c>
      <c r="L543">
        <v>5</v>
      </c>
      <c r="M543" t="s">
        <v>45</v>
      </c>
      <c r="N543" t="str">
        <f>TEXT(Table1[[#This Row],[Order Date]],"MMMM")</f>
        <v>July</v>
      </c>
      <c r="O543">
        <f>YEAR(Table1[[#This Row],[Order Date]])</f>
        <v>2025</v>
      </c>
      <c r="P543" t="str">
        <f>"Q"&amp;ROUNDUP(MONTH(Table1[[#This Row],[Order Date]])/3,0)</f>
        <v>Q3</v>
      </c>
      <c r="Q543" s="3">
        <f>Table1[[#This Row],[Profit]]/Table1[[#This Row],[Sales]]</f>
        <v>0.16128646103507441</v>
      </c>
      <c r="R543" t="str">
        <f>IF(Table1[[#This Row],[Sales]]&lt;1000,"LOW",IF(Table1[[#This Row],[Sales]]&lt;5000,"MEDIUM","HIGH"))</f>
        <v>MEDIUM</v>
      </c>
      <c r="S543" s="2">
        <f>Table1[[#This Row],[Discount]]/100</f>
        <v>0.05</v>
      </c>
    </row>
    <row r="544" spans="1:19" x14ac:dyDescent="0.3">
      <c r="A544">
        <v>10543</v>
      </c>
      <c r="B544" s="1" t="s">
        <v>507</v>
      </c>
      <c r="C544" t="s">
        <v>519</v>
      </c>
      <c r="D544" t="s">
        <v>60</v>
      </c>
      <c r="E544" t="s">
        <v>61</v>
      </c>
      <c r="F544" t="s">
        <v>25</v>
      </c>
      <c r="G544" t="s">
        <v>26</v>
      </c>
      <c r="H544" t="s">
        <v>71</v>
      </c>
      <c r="I544">
        <v>6</v>
      </c>
      <c r="J544">
        <v>13530</v>
      </c>
      <c r="K544">
        <v>3066.86</v>
      </c>
      <c r="L544">
        <v>0</v>
      </c>
      <c r="M544" t="s">
        <v>40</v>
      </c>
      <c r="N544" t="str">
        <f>TEXT(Table1[[#This Row],[Order Date]],"MMMM")</f>
        <v>August</v>
      </c>
      <c r="O544">
        <f>YEAR(Table1[[#This Row],[Order Date]])</f>
        <v>2025</v>
      </c>
      <c r="P544" t="str">
        <f>"Q"&amp;ROUNDUP(MONTH(Table1[[#This Row],[Order Date]])/3,0)</f>
        <v>Q3</v>
      </c>
      <c r="Q544" s="3">
        <f>Table1[[#This Row],[Profit]]/Table1[[#This Row],[Sales]]</f>
        <v>0.22667110125646711</v>
      </c>
      <c r="R544" t="str">
        <f>IF(Table1[[#This Row],[Sales]]&lt;1000,"LOW",IF(Table1[[#This Row],[Sales]]&lt;5000,"MEDIUM","HIGH"))</f>
        <v>HIGH</v>
      </c>
      <c r="S544" s="2">
        <f>Table1[[#This Row],[Discount]]/100</f>
        <v>0</v>
      </c>
    </row>
    <row r="545" spans="1:19" x14ac:dyDescent="0.3">
      <c r="A545">
        <v>10544</v>
      </c>
      <c r="B545" s="1" t="s">
        <v>378</v>
      </c>
      <c r="C545" t="s">
        <v>342</v>
      </c>
      <c r="D545" t="s">
        <v>66</v>
      </c>
      <c r="E545" t="s">
        <v>16</v>
      </c>
      <c r="F545" t="s">
        <v>31</v>
      </c>
      <c r="G545" t="s">
        <v>38</v>
      </c>
      <c r="H545" t="s">
        <v>39</v>
      </c>
      <c r="I545">
        <v>4</v>
      </c>
      <c r="J545">
        <v>10937.6</v>
      </c>
      <c r="K545">
        <v>3229.39</v>
      </c>
      <c r="L545">
        <v>20</v>
      </c>
      <c r="M545" t="s">
        <v>45</v>
      </c>
      <c r="N545" t="str">
        <f>TEXT(Table1[[#This Row],[Order Date]],"MMMM")</f>
        <v>April</v>
      </c>
      <c r="O545">
        <f>YEAR(Table1[[#This Row],[Order Date]])</f>
        <v>2025</v>
      </c>
      <c r="P545" t="str">
        <f>"Q"&amp;ROUNDUP(MONTH(Table1[[#This Row],[Order Date]])/3,0)</f>
        <v>Q2</v>
      </c>
      <c r="Q545" s="3">
        <f>Table1[[#This Row],[Profit]]/Table1[[#This Row],[Sales]]</f>
        <v>0.29525581480397889</v>
      </c>
      <c r="R545" t="str">
        <f>IF(Table1[[#This Row],[Sales]]&lt;1000,"LOW",IF(Table1[[#This Row],[Sales]]&lt;5000,"MEDIUM","HIGH"))</f>
        <v>HIGH</v>
      </c>
      <c r="S545" s="2">
        <f>Table1[[#This Row],[Discount]]/100</f>
        <v>0.2</v>
      </c>
    </row>
    <row r="546" spans="1:19" x14ac:dyDescent="0.3">
      <c r="A546">
        <v>10545</v>
      </c>
      <c r="B546" s="1" t="s">
        <v>313</v>
      </c>
      <c r="C546" t="s">
        <v>367</v>
      </c>
      <c r="D546" t="s">
        <v>23</v>
      </c>
      <c r="E546" t="s">
        <v>24</v>
      </c>
      <c r="F546" t="s">
        <v>31</v>
      </c>
      <c r="G546" t="s">
        <v>89</v>
      </c>
      <c r="H546" t="s">
        <v>90</v>
      </c>
      <c r="I546">
        <v>5</v>
      </c>
      <c r="J546">
        <v>14930.25</v>
      </c>
      <c r="K546">
        <v>1612.37</v>
      </c>
      <c r="L546">
        <v>15</v>
      </c>
      <c r="M546" t="s">
        <v>45</v>
      </c>
      <c r="N546" t="str">
        <f>TEXT(Table1[[#This Row],[Order Date]],"MMMM")</f>
        <v>November</v>
      </c>
      <c r="O546">
        <f>YEAR(Table1[[#This Row],[Order Date]])</f>
        <v>2025</v>
      </c>
      <c r="P546" t="str">
        <f>"Q"&amp;ROUNDUP(MONTH(Table1[[#This Row],[Order Date]])/3,0)</f>
        <v>Q4</v>
      </c>
      <c r="Q546" s="3">
        <f>Table1[[#This Row],[Profit]]/Table1[[#This Row],[Sales]]</f>
        <v>0.10799350312285461</v>
      </c>
      <c r="R546" t="str">
        <f>IF(Table1[[#This Row],[Sales]]&lt;1000,"LOW",IF(Table1[[#This Row],[Sales]]&lt;5000,"MEDIUM","HIGH"))</f>
        <v>HIGH</v>
      </c>
      <c r="S546" s="2">
        <f>Table1[[#This Row],[Discount]]/100</f>
        <v>0.15</v>
      </c>
    </row>
    <row r="547" spans="1:19" x14ac:dyDescent="0.3">
      <c r="A547">
        <v>10546</v>
      </c>
      <c r="B547" s="1" t="s">
        <v>520</v>
      </c>
      <c r="C547" t="s">
        <v>322</v>
      </c>
      <c r="D547" t="s">
        <v>56</v>
      </c>
      <c r="E547" t="s">
        <v>57</v>
      </c>
      <c r="F547" t="s">
        <v>17</v>
      </c>
      <c r="G547" t="s">
        <v>75</v>
      </c>
      <c r="H547" t="s">
        <v>76</v>
      </c>
      <c r="I547">
        <v>7</v>
      </c>
      <c r="J547">
        <v>12946.5</v>
      </c>
      <c r="K547">
        <v>1850.47</v>
      </c>
      <c r="L547">
        <v>10</v>
      </c>
      <c r="M547" t="s">
        <v>40</v>
      </c>
      <c r="N547" t="str">
        <f>TEXT(Table1[[#This Row],[Order Date]],"MMMM")</f>
        <v>October</v>
      </c>
      <c r="O547">
        <f>YEAR(Table1[[#This Row],[Order Date]])</f>
        <v>2025</v>
      </c>
      <c r="P547" t="str">
        <f>"Q"&amp;ROUNDUP(MONTH(Table1[[#This Row],[Order Date]])/3,0)</f>
        <v>Q4</v>
      </c>
      <c r="Q547" s="3">
        <f>Table1[[#This Row],[Profit]]/Table1[[#This Row],[Sales]]</f>
        <v>0.14293206658170163</v>
      </c>
      <c r="R547" t="str">
        <f>IF(Table1[[#This Row],[Sales]]&lt;1000,"LOW",IF(Table1[[#This Row],[Sales]]&lt;5000,"MEDIUM","HIGH"))</f>
        <v>HIGH</v>
      </c>
      <c r="S547" s="2">
        <f>Table1[[#This Row],[Discount]]/100</f>
        <v>0.1</v>
      </c>
    </row>
    <row r="548" spans="1:19" x14ac:dyDescent="0.3">
      <c r="A548">
        <v>10547</v>
      </c>
      <c r="B548" s="1" t="s">
        <v>108</v>
      </c>
      <c r="C548" t="s">
        <v>162</v>
      </c>
      <c r="D548" t="s">
        <v>60</v>
      </c>
      <c r="E548" t="s">
        <v>61</v>
      </c>
      <c r="F548" t="s">
        <v>31</v>
      </c>
      <c r="G548" t="s">
        <v>38</v>
      </c>
      <c r="H548" t="s">
        <v>39</v>
      </c>
      <c r="I548">
        <v>5</v>
      </c>
      <c r="J548">
        <v>4563</v>
      </c>
      <c r="K548">
        <v>1283.8</v>
      </c>
      <c r="L548">
        <v>10</v>
      </c>
      <c r="M548" t="s">
        <v>49</v>
      </c>
      <c r="N548" t="str">
        <f>TEXT(Table1[[#This Row],[Order Date]],"MMMM")</f>
        <v>May</v>
      </c>
      <c r="O548">
        <f>YEAR(Table1[[#This Row],[Order Date]])</f>
        <v>2025</v>
      </c>
      <c r="P548" t="str">
        <f>"Q"&amp;ROUNDUP(MONTH(Table1[[#This Row],[Order Date]])/3,0)</f>
        <v>Q2</v>
      </c>
      <c r="Q548" s="3">
        <f>Table1[[#This Row],[Profit]]/Table1[[#This Row],[Sales]]</f>
        <v>0.28134998904229674</v>
      </c>
      <c r="R548" t="str">
        <f>IF(Table1[[#This Row],[Sales]]&lt;1000,"LOW",IF(Table1[[#This Row],[Sales]]&lt;5000,"MEDIUM","HIGH"))</f>
        <v>MEDIUM</v>
      </c>
      <c r="S548" s="2">
        <f>Table1[[#This Row],[Discount]]/100</f>
        <v>0.1</v>
      </c>
    </row>
    <row r="549" spans="1:19" x14ac:dyDescent="0.3">
      <c r="A549">
        <v>10548</v>
      </c>
      <c r="B549" s="1" t="s">
        <v>320</v>
      </c>
      <c r="C549" t="s">
        <v>107</v>
      </c>
      <c r="D549" t="s">
        <v>56</v>
      </c>
      <c r="E549" t="s">
        <v>57</v>
      </c>
      <c r="F549" t="s">
        <v>17</v>
      </c>
      <c r="G549" t="s">
        <v>43</v>
      </c>
      <c r="H549" t="s">
        <v>44</v>
      </c>
      <c r="I549">
        <v>3</v>
      </c>
      <c r="J549">
        <v>4372.8</v>
      </c>
      <c r="K549">
        <v>1063.97</v>
      </c>
      <c r="L549">
        <v>20</v>
      </c>
      <c r="M549" t="s">
        <v>45</v>
      </c>
      <c r="N549" t="str">
        <f>TEXT(Table1[[#This Row],[Order Date]],"MMMM")</f>
        <v>October</v>
      </c>
      <c r="O549">
        <f>YEAR(Table1[[#This Row],[Order Date]])</f>
        <v>2025</v>
      </c>
      <c r="P549" t="str">
        <f>"Q"&amp;ROUNDUP(MONTH(Table1[[#This Row],[Order Date]])/3,0)</f>
        <v>Q4</v>
      </c>
      <c r="Q549" s="3">
        <f>Table1[[#This Row],[Profit]]/Table1[[#This Row],[Sales]]</f>
        <v>0.24331549579216977</v>
      </c>
      <c r="R549" t="str">
        <f>IF(Table1[[#This Row],[Sales]]&lt;1000,"LOW",IF(Table1[[#This Row],[Sales]]&lt;5000,"MEDIUM","HIGH"))</f>
        <v>MEDIUM</v>
      </c>
      <c r="S549" s="2">
        <f>Table1[[#This Row],[Discount]]/100</f>
        <v>0.2</v>
      </c>
    </row>
    <row r="550" spans="1:19" x14ac:dyDescent="0.3">
      <c r="A550">
        <v>10549</v>
      </c>
      <c r="B550" s="1" t="s">
        <v>430</v>
      </c>
      <c r="C550" t="s">
        <v>251</v>
      </c>
      <c r="D550" t="s">
        <v>66</v>
      </c>
      <c r="E550" t="s">
        <v>16</v>
      </c>
      <c r="F550" t="s">
        <v>25</v>
      </c>
      <c r="G550" t="s">
        <v>95</v>
      </c>
      <c r="H550" t="s">
        <v>96</v>
      </c>
      <c r="I550">
        <v>7</v>
      </c>
      <c r="J550">
        <v>1946</v>
      </c>
      <c r="K550">
        <v>368.13</v>
      </c>
      <c r="L550">
        <v>0</v>
      </c>
      <c r="M550" t="s">
        <v>20</v>
      </c>
      <c r="N550" t="str">
        <f>TEXT(Table1[[#This Row],[Order Date]],"MMMM")</f>
        <v>May</v>
      </c>
      <c r="O550">
        <f>YEAR(Table1[[#This Row],[Order Date]])</f>
        <v>2025</v>
      </c>
      <c r="P550" t="str">
        <f>"Q"&amp;ROUNDUP(MONTH(Table1[[#This Row],[Order Date]])/3,0)</f>
        <v>Q2</v>
      </c>
      <c r="Q550" s="3">
        <f>Table1[[#This Row],[Profit]]/Table1[[#This Row],[Sales]]</f>
        <v>0.18917266187050361</v>
      </c>
      <c r="R550" t="str">
        <f>IF(Table1[[#This Row],[Sales]]&lt;1000,"LOW",IF(Table1[[#This Row],[Sales]]&lt;5000,"MEDIUM","HIGH"))</f>
        <v>MEDIUM</v>
      </c>
      <c r="S550" s="2">
        <f>Table1[[#This Row],[Discount]]/100</f>
        <v>0</v>
      </c>
    </row>
    <row r="551" spans="1:19" x14ac:dyDescent="0.3">
      <c r="A551">
        <v>10550</v>
      </c>
      <c r="B551" s="1" t="s">
        <v>521</v>
      </c>
      <c r="C551" t="s">
        <v>475</v>
      </c>
      <c r="D551" t="s">
        <v>15</v>
      </c>
      <c r="E551" t="s">
        <v>16</v>
      </c>
      <c r="F551" t="s">
        <v>31</v>
      </c>
      <c r="G551" t="s">
        <v>38</v>
      </c>
      <c r="H551" t="s">
        <v>39</v>
      </c>
      <c r="I551">
        <v>5</v>
      </c>
      <c r="J551">
        <v>18665</v>
      </c>
      <c r="K551">
        <v>4648.92</v>
      </c>
      <c r="L551">
        <v>0</v>
      </c>
      <c r="M551" t="s">
        <v>45</v>
      </c>
      <c r="N551" t="str">
        <f>TEXT(Table1[[#This Row],[Order Date]],"MMMM")</f>
        <v>April</v>
      </c>
      <c r="O551">
        <f>YEAR(Table1[[#This Row],[Order Date]])</f>
        <v>2025</v>
      </c>
      <c r="P551" t="str">
        <f>"Q"&amp;ROUNDUP(MONTH(Table1[[#This Row],[Order Date]])/3,0)</f>
        <v>Q2</v>
      </c>
      <c r="Q551" s="3">
        <f>Table1[[#This Row],[Profit]]/Table1[[#This Row],[Sales]]</f>
        <v>0.249071524243236</v>
      </c>
      <c r="R551" t="str">
        <f>IF(Table1[[#This Row],[Sales]]&lt;1000,"LOW",IF(Table1[[#This Row],[Sales]]&lt;5000,"MEDIUM","HIGH"))</f>
        <v>HIGH</v>
      </c>
      <c r="S551" s="2">
        <f>Table1[[#This Row],[Discount]]/100</f>
        <v>0</v>
      </c>
    </row>
    <row r="552" spans="1:19" x14ac:dyDescent="0.3">
      <c r="A552">
        <v>10551</v>
      </c>
      <c r="B552" s="1" t="s">
        <v>310</v>
      </c>
      <c r="C552" t="s">
        <v>511</v>
      </c>
      <c r="D552" t="s">
        <v>66</v>
      </c>
      <c r="E552" t="s">
        <v>16</v>
      </c>
      <c r="F552" t="s">
        <v>17</v>
      </c>
      <c r="G552" t="s">
        <v>43</v>
      </c>
      <c r="H552" t="s">
        <v>44</v>
      </c>
      <c r="I552">
        <v>1</v>
      </c>
      <c r="J552">
        <v>3877.9</v>
      </c>
      <c r="K552">
        <v>539.95000000000005</v>
      </c>
      <c r="L552">
        <v>5</v>
      </c>
      <c r="M552" t="s">
        <v>40</v>
      </c>
      <c r="N552" t="str">
        <f>TEXT(Table1[[#This Row],[Order Date]],"MMMM")</f>
        <v>April</v>
      </c>
      <c r="O552">
        <f>YEAR(Table1[[#This Row],[Order Date]])</f>
        <v>2025</v>
      </c>
      <c r="P552" t="str">
        <f>"Q"&amp;ROUNDUP(MONTH(Table1[[#This Row],[Order Date]])/3,0)</f>
        <v>Q2</v>
      </c>
      <c r="Q552" s="3">
        <f>Table1[[#This Row],[Profit]]/Table1[[#This Row],[Sales]]</f>
        <v>0.13923773176203616</v>
      </c>
      <c r="R552" t="str">
        <f>IF(Table1[[#This Row],[Sales]]&lt;1000,"LOW",IF(Table1[[#This Row],[Sales]]&lt;5000,"MEDIUM","HIGH"))</f>
        <v>MEDIUM</v>
      </c>
      <c r="S552" s="2">
        <f>Table1[[#This Row],[Discount]]/100</f>
        <v>0.05</v>
      </c>
    </row>
    <row r="553" spans="1:19" x14ac:dyDescent="0.3">
      <c r="A553">
        <v>10552</v>
      </c>
      <c r="B553" s="1" t="s">
        <v>425</v>
      </c>
      <c r="C553" t="s">
        <v>519</v>
      </c>
      <c r="D553" t="s">
        <v>23</v>
      </c>
      <c r="E553" t="s">
        <v>24</v>
      </c>
      <c r="F553" t="s">
        <v>17</v>
      </c>
      <c r="G553" t="s">
        <v>75</v>
      </c>
      <c r="H553" t="s">
        <v>76</v>
      </c>
      <c r="I553">
        <v>7</v>
      </c>
      <c r="J553">
        <v>29022</v>
      </c>
      <c r="K553">
        <v>5452.79</v>
      </c>
      <c r="L553">
        <v>0</v>
      </c>
      <c r="M553" t="s">
        <v>28</v>
      </c>
      <c r="N553" t="str">
        <f>TEXT(Table1[[#This Row],[Order Date]],"MMMM")</f>
        <v>November</v>
      </c>
      <c r="O553">
        <f>YEAR(Table1[[#This Row],[Order Date]])</f>
        <v>2025</v>
      </c>
      <c r="P553" t="str">
        <f>"Q"&amp;ROUNDUP(MONTH(Table1[[#This Row],[Order Date]])/3,0)</f>
        <v>Q4</v>
      </c>
      <c r="Q553" s="3">
        <f>Table1[[#This Row],[Profit]]/Table1[[#This Row],[Sales]]</f>
        <v>0.18788470815243608</v>
      </c>
      <c r="R553" t="str">
        <f>IF(Table1[[#This Row],[Sales]]&lt;1000,"LOW",IF(Table1[[#This Row],[Sales]]&lt;5000,"MEDIUM","HIGH"))</f>
        <v>HIGH</v>
      </c>
      <c r="S553" s="2">
        <f>Table1[[#This Row],[Discount]]/100</f>
        <v>0</v>
      </c>
    </row>
    <row r="554" spans="1:19" x14ac:dyDescent="0.3">
      <c r="A554">
        <v>10553</v>
      </c>
      <c r="B554" s="1" t="s">
        <v>502</v>
      </c>
      <c r="C554" t="s">
        <v>475</v>
      </c>
      <c r="D554" t="s">
        <v>56</v>
      </c>
      <c r="E554" t="s">
        <v>57</v>
      </c>
      <c r="F554" t="s">
        <v>25</v>
      </c>
      <c r="G554" t="s">
        <v>26</v>
      </c>
      <c r="H554" t="s">
        <v>48</v>
      </c>
      <c r="I554">
        <v>8</v>
      </c>
      <c r="J554">
        <v>23788</v>
      </c>
      <c r="K554">
        <v>2792.04</v>
      </c>
      <c r="L554">
        <v>5</v>
      </c>
      <c r="M554" t="s">
        <v>49</v>
      </c>
      <c r="N554" t="str">
        <f>TEXT(Table1[[#This Row],[Order Date]],"MMMM")</f>
        <v>August</v>
      </c>
      <c r="O554">
        <f>YEAR(Table1[[#This Row],[Order Date]])</f>
        <v>2025</v>
      </c>
      <c r="P554" t="str">
        <f>"Q"&amp;ROUNDUP(MONTH(Table1[[#This Row],[Order Date]])/3,0)</f>
        <v>Q3</v>
      </c>
      <c r="Q554" s="3">
        <f>Table1[[#This Row],[Profit]]/Table1[[#This Row],[Sales]]</f>
        <v>0.11737178409281991</v>
      </c>
      <c r="R554" t="str">
        <f>IF(Table1[[#This Row],[Sales]]&lt;1000,"LOW",IF(Table1[[#This Row],[Sales]]&lt;5000,"MEDIUM","HIGH"))</f>
        <v>HIGH</v>
      </c>
      <c r="S554" s="2">
        <f>Table1[[#This Row],[Discount]]/100</f>
        <v>0.05</v>
      </c>
    </row>
    <row r="555" spans="1:19" x14ac:dyDescent="0.3">
      <c r="A555">
        <v>10554</v>
      </c>
      <c r="B555" s="1" t="s">
        <v>382</v>
      </c>
      <c r="C555" t="s">
        <v>80</v>
      </c>
      <c r="D555" t="s">
        <v>74</v>
      </c>
      <c r="E555" t="s">
        <v>74</v>
      </c>
      <c r="F555" t="s">
        <v>25</v>
      </c>
      <c r="G555" t="s">
        <v>95</v>
      </c>
      <c r="H555" t="s">
        <v>96</v>
      </c>
      <c r="I555">
        <v>6</v>
      </c>
      <c r="J555">
        <v>19785.599999999999</v>
      </c>
      <c r="K555">
        <v>4181.4799999999996</v>
      </c>
      <c r="L555">
        <v>20</v>
      </c>
      <c r="M555" t="s">
        <v>40</v>
      </c>
      <c r="N555" t="str">
        <f>TEXT(Table1[[#This Row],[Order Date]],"MMMM")</f>
        <v>June</v>
      </c>
      <c r="O555">
        <f>YEAR(Table1[[#This Row],[Order Date]])</f>
        <v>2025</v>
      </c>
      <c r="P555" t="str">
        <f>"Q"&amp;ROUNDUP(MONTH(Table1[[#This Row],[Order Date]])/3,0)</f>
        <v>Q2</v>
      </c>
      <c r="Q555" s="3">
        <f>Table1[[#This Row],[Profit]]/Table1[[#This Row],[Sales]]</f>
        <v>0.21133956008410157</v>
      </c>
      <c r="R555" t="str">
        <f>IF(Table1[[#This Row],[Sales]]&lt;1000,"LOW",IF(Table1[[#This Row],[Sales]]&lt;5000,"MEDIUM","HIGH"))</f>
        <v>HIGH</v>
      </c>
      <c r="S555" s="2">
        <f>Table1[[#This Row],[Discount]]/100</f>
        <v>0.2</v>
      </c>
    </row>
    <row r="556" spans="1:19" x14ac:dyDescent="0.3">
      <c r="A556">
        <v>10555</v>
      </c>
      <c r="B556" s="1" t="s">
        <v>425</v>
      </c>
      <c r="C556" t="s">
        <v>82</v>
      </c>
      <c r="D556" t="s">
        <v>15</v>
      </c>
      <c r="E556" t="s">
        <v>16</v>
      </c>
      <c r="F556" t="s">
        <v>31</v>
      </c>
      <c r="G556" t="s">
        <v>32</v>
      </c>
      <c r="H556" t="s">
        <v>33</v>
      </c>
      <c r="I556">
        <v>3</v>
      </c>
      <c r="J556">
        <v>1558.05</v>
      </c>
      <c r="K556">
        <v>395.27</v>
      </c>
      <c r="L556">
        <v>15</v>
      </c>
      <c r="M556" t="s">
        <v>45</v>
      </c>
      <c r="N556" t="str">
        <f>TEXT(Table1[[#This Row],[Order Date]],"MMMM")</f>
        <v>November</v>
      </c>
      <c r="O556">
        <f>YEAR(Table1[[#This Row],[Order Date]])</f>
        <v>2025</v>
      </c>
      <c r="P556" t="str">
        <f>"Q"&amp;ROUNDUP(MONTH(Table1[[#This Row],[Order Date]])/3,0)</f>
        <v>Q4</v>
      </c>
      <c r="Q556" s="3">
        <f>Table1[[#This Row],[Profit]]/Table1[[#This Row],[Sales]]</f>
        <v>0.25369532428355956</v>
      </c>
      <c r="R556" t="str">
        <f>IF(Table1[[#This Row],[Sales]]&lt;1000,"LOW",IF(Table1[[#This Row],[Sales]]&lt;5000,"MEDIUM","HIGH"))</f>
        <v>MEDIUM</v>
      </c>
      <c r="S556" s="2">
        <f>Table1[[#This Row],[Discount]]/100</f>
        <v>0.15</v>
      </c>
    </row>
    <row r="557" spans="1:19" x14ac:dyDescent="0.3">
      <c r="A557">
        <v>10556</v>
      </c>
      <c r="B557" s="1" t="s">
        <v>200</v>
      </c>
      <c r="C557" t="s">
        <v>113</v>
      </c>
      <c r="D557" t="s">
        <v>36</v>
      </c>
      <c r="E557" t="s">
        <v>37</v>
      </c>
      <c r="F557" t="s">
        <v>25</v>
      </c>
      <c r="G557" t="s">
        <v>26</v>
      </c>
      <c r="H557" t="s">
        <v>27</v>
      </c>
      <c r="I557">
        <v>8</v>
      </c>
      <c r="J557">
        <v>21652.400000000001</v>
      </c>
      <c r="K557">
        <v>2920.33</v>
      </c>
      <c r="L557">
        <v>5</v>
      </c>
      <c r="M557" t="s">
        <v>40</v>
      </c>
      <c r="N557" t="str">
        <f>TEXT(Table1[[#This Row],[Order Date]],"MMMM")</f>
        <v>July</v>
      </c>
      <c r="O557">
        <f>YEAR(Table1[[#This Row],[Order Date]])</f>
        <v>2025</v>
      </c>
      <c r="P557" t="str">
        <f>"Q"&amp;ROUNDUP(MONTH(Table1[[#This Row],[Order Date]])/3,0)</f>
        <v>Q3</v>
      </c>
      <c r="Q557" s="3">
        <f>Table1[[#This Row],[Profit]]/Table1[[#This Row],[Sales]]</f>
        <v>0.13487327039958619</v>
      </c>
      <c r="R557" t="str">
        <f>IF(Table1[[#This Row],[Sales]]&lt;1000,"LOW",IF(Table1[[#This Row],[Sales]]&lt;5000,"MEDIUM","HIGH"))</f>
        <v>HIGH</v>
      </c>
      <c r="S557" s="2">
        <f>Table1[[#This Row],[Discount]]/100</f>
        <v>0.05</v>
      </c>
    </row>
    <row r="558" spans="1:19" x14ac:dyDescent="0.3">
      <c r="A558">
        <v>10557</v>
      </c>
      <c r="B558" s="1" t="s">
        <v>463</v>
      </c>
      <c r="C558" t="s">
        <v>115</v>
      </c>
      <c r="D558" t="s">
        <v>74</v>
      </c>
      <c r="E558" t="s">
        <v>74</v>
      </c>
      <c r="F558" t="s">
        <v>31</v>
      </c>
      <c r="G558" t="s">
        <v>38</v>
      </c>
      <c r="H558" t="s">
        <v>39</v>
      </c>
      <c r="I558">
        <v>6</v>
      </c>
      <c r="J558">
        <v>570</v>
      </c>
      <c r="K558">
        <v>46.46</v>
      </c>
      <c r="L558">
        <v>5</v>
      </c>
      <c r="M558" t="s">
        <v>49</v>
      </c>
      <c r="N558" t="str">
        <f>TEXT(Table1[[#This Row],[Order Date]],"MMMM")</f>
        <v>February</v>
      </c>
      <c r="O558">
        <f>YEAR(Table1[[#This Row],[Order Date]])</f>
        <v>2025</v>
      </c>
      <c r="P558" t="str">
        <f>"Q"&amp;ROUNDUP(MONTH(Table1[[#This Row],[Order Date]])/3,0)</f>
        <v>Q1</v>
      </c>
      <c r="Q558" s="3">
        <f>Table1[[#This Row],[Profit]]/Table1[[#This Row],[Sales]]</f>
        <v>8.1508771929824558E-2</v>
      </c>
      <c r="R558" t="str">
        <f>IF(Table1[[#This Row],[Sales]]&lt;1000,"LOW",IF(Table1[[#This Row],[Sales]]&lt;5000,"MEDIUM","HIGH"))</f>
        <v>LOW</v>
      </c>
      <c r="S558" s="2">
        <f>Table1[[#This Row],[Discount]]/100</f>
        <v>0.05</v>
      </c>
    </row>
    <row r="559" spans="1:19" x14ac:dyDescent="0.3">
      <c r="A559">
        <v>10558</v>
      </c>
      <c r="B559" s="1" t="s">
        <v>522</v>
      </c>
      <c r="C559" t="s">
        <v>177</v>
      </c>
      <c r="D559" t="s">
        <v>60</v>
      </c>
      <c r="E559" t="s">
        <v>61</v>
      </c>
      <c r="F559" t="s">
        <v>25</v>
      </c>
      <c r="G559" t="s">
        <v>95</v>
      </c>
      <c r="H559" t="s">
        <v>96</v>
      </c>
      <c r="I559">
        <v>3</v>
      </c>
      <c r="J559">
        <v>6934.05</v>
      </c>
      <c r="K559">
        <v>1503.92</v>
      </c>
      <c r="L559">
        <v>5</v>
      </c>
      <c r="M559" t="s">
        <v>20</v>
      </c>
      <c r="N559" t="str">
        <f>TEXT(Table1[[#This Row],[Order Date]],"MMMM")</f>
        <v>April</v>
      </c>
      <c r="O559">
        <f>YEAR(Table1[[#This Row],[Order Date]])</f>
        <v>2025</v>
      </c>
      <c r="P559" t="str">
        <f>"Q"&amp;ROUNDUP(MONTH(Table1[[#This Row],[Order Date]])/3,0)</f>
        <v>Q2</v>
      </c>
      <c r="Q559" s="3">
        <f>Table1[[#This Row],[Profit]]/Table1[[#This Row],[Sales]]</f>
        <v>0.21688911963426857</v>
      </c>
      <c r="R559" t="str">
        <f>IF(Table1[[#This Row],[Sales]]&lt;1000,"LOW",IF(Table1[[#This Row],[Sales]]&lt;5000,"MEDIUM","HIGH"))</f>
        <v>HIGH</v>
      </c>
      <c r="S559" s="2">
        <f>Table1[[#This Row],[Discount]]/100</f>
        <v>0.05</v>
      </c>
    </row>
    <row r="560" spans="1:19" x14ac:dyDescent="0.3">
      <c r="A560">
        <v>10559</v>
      </c>
      <c r="B560" s="1" t="s">
        <v>303</v>
      </c>
      <c r="C560" t="s">
        <v>453</v>
      </c>
      <c r="D560" t="s">
        <v>56</v>
      </c>
      <c r="E560" t="s">
        <v>57</v>
      </c>
      <c r="F560" t="s">
        <v>17</v>
      </c>
      <c r="G560" t="s">
        <v>75</v>
      </c>
      <c r="H560" t="s">
        <v>116</v>
      </c>
      <c r="I560">
        <v>7</v>
      </c>
      <c r="J560">
        <v>14101.5</v>
      </c>
      <c r="K560">
        <v>2944.38</v>
      </c>
      <c r="L560">
        <v>15</v>
      </c>
      <c r="M560" t="s">
        <v>49</v>
      </c>
      <c r="N560" t="str">
        <f>TEXT(Table1[[#This Row],[Order Date]],"MMMM")</f>
        <v>January</v>
      </c>
      <c r="O560">
        <f>YEAR(Table1[[#This Row],[Order Date]])</f>
        <v>2025</v>
      </c>
      <c r="P560" t="str">
        <f>"Q"&amp;ROUNDUP(MONTH(Table1[[#This Row],[Order Date]])/3,0)</f>
        <v>Q1</v>
      </c>
      <c r="Q560" s="3">
        <f>Table1[[#This Row],[Profit]]/Table1[[#This Row],[Sales]]</f>
        <v>0.20879906392936923</v>
      </c>
      <c r="R560" t="str">
        <f>IF(Table1[[#This Row],[Sales]]&lt;1000,"LOW",IF(Table1[[#This Row],[Sales]]&lt;5000,"MEDIUM","HIGH"))</f>
        <v>HIGH</v>
      </c>
      <c r="S560" s="2">
        <f>Table1[[#This Row],[Discount]]/100</f>
        <v>0.15</v>
      </c>
    </row>
    <row r="561" spans="1:19" x14ac:dyDescent="0.3">
      <c r="A561">
        <v>10560</v>
      </c>
      <c r="B561" s="1" t="s">
        <v>299</v>
      </c>
      <c r="C561" t="s">
        <v>195</v>
      </c>
      <c r="D561" t="s">
        <v>36</v>
      </c>
      <c r="E561" t="s">
        <v>37</v>
      </c>
      <c r="F561" t="s">
        <v>31</v>
      </c>
      <c r="G561" t="s">
        <v>89</v>
      </c>
      <c r="H561" t="s">
        <v>90</v>
      </c>
      <c r="I561">
        <v>3</v>
      </c>
      <c r="J561">
        <v>5867.1</v>
      </c>
      <c r="K561">
        <v>1159.44</v>
      </c>
      <c r="L561">
        <v>10</v>
      </c>
      <c r="M561" t="s">
        <v>28</v>
      </c>
      <c r="N561" t="str">
        <f>TEXT(Table1[[#This Row],[Order Date]],"MMMM")</f>
        <v>February</v>
      </c>
      <c r="O561">
        <f>YEAR(Table1[[#This Row],[Order Date]])</f>
        <v>2025</v>
      </c>
      <c r="P561" t="str">
        <f>"Q"&amp;ROUNDUP(MONTH(Table1[[#This Row],[Order Date]])/3,0)</f>
        <v>Q1</v>
      </c>
      <c r="Q561" s="3">
        <f>Table1[[#This Row],[Profit]]/Table1[[#This Row],[Sales]]</f>
        <v>0.19761722145523342</v>
      </c>
      <c r="R561" t="str">
        <f>IF(Table1[[#This Row],[Sales]]&lt;1000,"LOW",IF(Table1[[#This Row],[Sales]]&lt;5000,"MEDIUM","HIGH"))</f>
        <v>HIGH</v>
      </c>
      <c r="S561" s="2">
        <f>Table1[[#This Row],[Discount]]/100</f>
        <v>0.1</v>
      </c>
    </row>
    <row r="562" spans="1:19" x14ac:dyDescent="0.3">
      <c r="A562">
        <v>10561</v>
      </c>
      <c r="B562" s="1" t="s">
        <v>108</v>
      </c>
      <c r="C562" t="s">
        <v>107</v>
      </c>
      <c r="D562" t="s">
        <v>52</v>
      </c>
      <c r="E562" t="s">
        <v>53</v>
      </c>
      <c r="F562" t="s">
        <v>17</v>
      </c>
      <c r="G562" t="s">
        <v>75</v>
      </c>
      <c r="H562" t="s">
        <v>116</v>
      </c>
      <c r="I562">
        <v>2</v>
      </c>
      <c r="J562">
        <v>3993.3</v>
      </c>
      <c r="K562">
        <v>565.12</v>
      </c>
      <c r="L562">
        <v>15</v>
      </c>
      <c r="M562" t="s">
        <v>49</v>
      </c>
      <c r="N562" t="str">
        <f>TEXT(Table1[[#This Row],[Order Date]],"MMMM")</f>
        <v>May</v>
      </c>
      <c r="O562">
        <f>YEAR(Table1[[#This Row],[Order Date]])</f>
        <v>2025</v>
      </c>
      <c r="P562" t="str">
        <f>"Q"&amp;ROUNDUP(MONTH(Table1[[#This Row],[Order Date]])/3,0)</f>
        <v>Q2</v>
      </c>
      <c r="Q562" s="3">
        <f>Table1[[#This Row],[Profit]]/Table1[[#This Row],[Sales]]</f>
        <v>0.14151704104374827</v>
      </c>
      <c r="R562" t="str">
        <f>IF(Table1[[#This Row],[Sales]]&lt;1000,"LOW",IF(Table1[[#This Row],[Sales]]&lt;5000,"MEDIUM","HIGH"))</f>
        <v>MEDIUM</v>
      </c>
      <c r="S562" s="2">
        <f>Table1[[#This Row],[Discount]]/100</f>
        <v>0.15</v>
      </c>
    </row>
    <row r="563" spans="1:19" x14ac:dyDescent="0.3">
      <c r="A563">
        <v>10562</v>
      </c>
      <c r="B563" s="1" t="s">
        <v>409</v>
      </c>
      <c r="C563" t="s">
        <v>308</v>
      </c>
      <c r="D563" t="s">
        <v>15</v>
      </c>
      <c r="E563" t="s">
        <v>16</v>
      </c>
      <c r="F563" t="s">
        <v>17</v>
      </c>
      <c r="G563" t="s">
        <v>43</v>
      </c>
      <c r="H563" t="s">
        <v>44</v>
      </c>
      <c r="I563">
        <v>2</v>
      </c>
      <c r="J563">
        <v>6395.2</v>
      </c>
      <c r="K563">
        <v>865.75</v>
      </c>
      <c r="L563">
        <v>20</v>
      </c>
      <c r="M563" t="s">
        <v>45</v>
      </c>
      <c r="N563" t="str">
        <f>TEXT(Table1[[#This Row],[Order Date]],"MMMM")</f>
        <v>January</v>
      </c>
      <c r="O563">
        <f>YEAR(Table1[[#This Row],[Order Date]])</f>
        <v>2025</v>
      </c>
      <c r="P563" t="str">
        <f>"Q"&amp;ROUNDUP(MONTH(Table1[[#This Row],[Order Date]])/3,0)</f>
        <v>Q1</v>
      </c>
      <c r="Q563" s="3">
        <f>Table1[[#This Row],[Profit]]/Table1[[#This Row],[Sales]]</f>
        <v>0.13537496872654492</v>
      </c>
      <c r="R563" t="str">
        <f>IF(Table1[[#This Row],[Sales]]&lt;1000,"LOW",IF(Table1[[#This Row],[Sales]]&lt;5000,"MEDIUM","HIGH"))</f>
        <v>HIGH</v>
      </c>
      <c r="S563" s="2">
        <f>Table1[[#This Row],[Discount]]/100</f>
        <v>0.2</v>
      </c>
    </row>
    <row r="564" spans="1:19" x14ac:dyDescent="0.3">
      <c r="A564">
        <v>10563</v>
      </c>
      <c r="B564" s="1" t="s">
        <v>523</v>
      </c>
      <c r="C564" t="s">
        <v>150</v>
      </c>
      <c r="D564" t="s">
        <v>52</v>
      </c>
      <c r="E564" t="s">
        <v>53</v>
      </c>
      <c r="F564" t="s">
        <v>25</v>
      </c>
      <c r="G564" t="s">
        <v>26</v>
      </c>
      <c r="H564" t="s">
        <v>71</v>
      </c>
      <c r="I564">
        <v>2</v>
      </c>
      <c r="J564">
        <v>2771</v>
      </c>
      <c r="K564">
        <v>233.8</v>
      </c>
      <c r="L564">
        <v>15</v>
      </c>
      <c r="M564" t="s">
        <v>28</v>
      </c>
      <c r="N564" t="str">
        <f>TEXT(Table1[[#This Row],[Order Date]],"MMMM")</f>
        <v>October</v>
      </c>
      <c r="O564">
        <f>YEAR(Table1[[#This Row],[Order Date]])</f>
        <v>2025</v>
      </c>
      <c r="P564" t="str">
        <f>"Q"&amp;ROUNDUP(MONTH(Table1[[#This Row],[Order Date]])/3,0)</f>
        <v>Q4</v>
      </c>
      <c r="Q564" s="3">
        <f>Table1[[#This Row],[Profit]]/Table1[[#This Row],[Sales]]</f>
        <v>8.4373872248285825E-2</v>
      </c>
      <c r="R564" t="str">
        <f>IF(Table1[[#This Row],[Sales]]&lt;1000,"LOW",IF(Table1[[#This Row],[Sales]]&lt;5000,"MEDIUM","HIGH"))</f>
        <v>MEDIUM</v>
      </c>
      <c r="S564" s="2">
        <f>Table1[[#This Row],[Discount]]/100</f>
        <v>0.15</v>
      </c>
    </row>
    <row r="565" spans="1:19" x14ac:dyDescent="0.3">
      <c r="A565">
        <v>10564</v>
      </c>
      <c r="B565" s="1" t="s">
        <v>165</v>
      </c>
      <c r="C565" t="s">
        <v>488</v>
      </c>
      <c r="D565" t="s">
        <v>15</v>
      </c>
      <c r="E565" t="s">
        <v>16</v>
      </c>
      <c r="F565" t="s">
        <v>17</v>
      </c>
      <c r="G565" t="s">
        <v>75</v>
      </c>
      <c r="H565" t="s">
        <v>116</v>
      </c>
      <c r="I565">
        <v>7</v>
      </c>
      <c r="J565">
        <v>3129.7</v>
      </c>
      <c r="K565">
        <v>423.45</v>
      </c>
      <c r="L565">
        <v>15</v>
      </c>
      <c r="M565" t="s">
        <v>28</v>
      </c>
      <c r="N565" t="str">
        <f>TEXT(Table1[[#This Row],[Order Date]],"MMMM")</f>
        <v>January</v>
      </c>
      <c r="O565">
        <f>YEAR(Table1[[#This Row],[Order Date]])</f>
        <v>2025</v>
      </c>
      <c r="P565" t="str">
        <f>"Q"&amp;ROUNDUP(MONTH(Table1[[#This Row],[Order Date]])/3,0)</f>
        <v>Q1</v>
      </c>
      <c r="Q565" s="3">
        <f>Table1[[#This Row],[Profit]]/Table1[[#This Row],[Sales]]</f>
        <v>0.13530050803591398</v>
      </c>
      <c r="R565" t="str">
        <f>IF(Table1[[#This Row],[Sales]]&lt;1000,"LOW",IF(Table1[[#This Row],[Sales]]&lt;5000,"MEDIUM","HIGH"))</f>
        <v>MEDIUM</v>
      </c>
      <c r="S565" s="2">
        <f>Table1[[#This Row],[Discount]]/100</f>
        <v>0.15</v>
      </c>
    </row>
    <row r="566" spans="1:19" x14ac:dyDescent="0.3">
      <c r="A566">
        <v>10565</v>
      </c>
      <c r="B566" s="1" t="s">
        <v>325</v>
      </c>
      <c r="C566" t="s">
        <v>269</v>
      </c>
      <c r="D566" t="s">
        <v>23</v>
      </c>
      <c r="E566" t="s">
        <v>24</v>
      </c>
      <c r="F566" t="s">
        <v>31</v>
      </c>
      <c r="G566" t="s">
        <v>32</v>
      </c>
      <c r="H566" t="s">
        <v>33</v>
      </c>
      <c r="I566">
        <v>5</v>
      </c>
      <c r="J566">
        <v>14972</v>
      </c>
      <c r="K566">
        <v>2906.01</v>
      </c>
      <c r="L566">
        <v>20</v>
      </c>
      <c r="M566" t="s">
        <v>28</v>
      </c>
      <c r="N566" t="str">
        <f>TEXT(Table1[[#This Row],[Order Date]],"MMMM")</f>
        <v>November</v>
      </c>
      <c r="O566">
        <f>YEAR(Table1[[#This Row],[Order Date]])</f>
        <v>2025</v>
      </c>
      <c r="P566" t="str">
        <f>"Q"&amp;ROUNDUP(MONTH(Table1[[#This Row],[Order Date]])/3,0)</f>
        <v>Q4</v>
      </c>
      <c r="Q566" s="3">
        <f>Table1[[#This Row],[Profit]]/Table1[[#This Row],[Sales]]</f>
        <v>0.19409631311781994</v>
      </c>
      <c r="R566" t="str">
        <f>IF(Table1[[#This Row],[Sales]]&lt;1000,"LOW",IF(Table1[[#This Row],[Sales]]&lt;5000,"MEDIUM","HIGH"))</f>
        <v>HIGH</v>
      </c>
      <c r="S566" s="2">
        <f>Table1[[#This Row],[Discount]]/100</f>
        <v>0.2</v>
      </c>
    </row>
    <row r="567" spans="1:19" x14ac:dyDescent="0.3">
      <c r="A567">
        <v>10566</v>
      </c>
      <c r="B567" s="1" t="s">
        <v>183</v>
      </c>
      <c r="C567" t="s">
        <v>377</v>
      </c>
      <c r="D567" t="s">
        <v>60</v>
      </c>
      <c r="E567" t="s">
        <v>61</v>
      </c>
      <c r="F567" t="s">
        <v>25</v>
      </c>
      <c r="G567" t="s">
        <v>26</v>
      </c>
      <c r="H567" t="s">
        <v>71</v>
      </c>
      <c r="I567">
        <v>2</v>
      </c>
      <c r="J567">
        <v>4851.2</v>
      </c>
      <c r="K567">
        <v>866.88</v>
      </c>
      <c r="L567">
        <v>20</v>
      </c>
      <c r="M567" t="s">
        <v>20</v>
      </c>
      <c r="N567" t="str">
        <f>TEXT(Table1[[#This Row],[Order Date]],"MMMM")</f>
        <v>January</v>
      </c>
      <c r="O567">
        <f>YEAR(Table1[[#This Row],[Order Date]])</f>
        <v>2025</v>
      </c>
      <c r="P567" t="str">
        <f>"Q"&amp;ROUNDUP(MONTH(Table1[[#This Row],[Order Date]])/3,0)</f>
        <v>Q1</v>
      </c>
      <c r="Q567" s="3">
        <f>Table1[[#This Row],[Profit]]/Table1[[#This Row],[Sales]]</f>
        <v>0.17869393139841688</v>
      </c>
      <c r="R567" t="str">
        <f>IF(Table1[[#This Row],[Sales]]&lt;1000,"LOW",IF(Table1[[#This Row],[Sales]]&lt;5000,"MEDIUM","HIGH"))</f>
        <v>MEDIUM</v>
      </c>
      <c r="S567" s="2">
        <f>Table1[[#This Row],[Discount]]/100</f>
        <v>0.2</v>
      </c>
    </row>
    <row r="568" spans="1:19" x14ac:dyDescent="0.3">
      <c r="A568">
        <v>10567</v>
      </c>
      <c r="B568" s="1" t="s">
        <v>159</v>
      </c>
      <c r="C568" t="s">
        <v>437</v>
      </c>
      <c r="D568" t="s">
        <v>56</v>
      </c>
      <c r="E568" t="s">
        <v>57</v>
      </c>
      <c r="F568" t="s">
        <v>25</v>
      </c>
      <c r="G568" t="s">
        <v>26</v>
      </c>
      <c r="H568" t="s">
        <v>27</v>
      </c>
      <c r="I568">
        <v>4</v>
      </c>
      <c r="J568">
        <v>16065</v>
      </c>
      <c r="K568">
        <v>3752.12</v>
      </c>
      <c r="L568">
        <v>15</v>
      </c>
      <c r="M568" t="s">
        <v>49</v>
      </c>
      <c r="N568" t="str">
        <f>TEXT(Table1[[#This Row],[Order Date]],"MMMM")</f>
        <v>May</v>
      </c>
      <c r="O568">
        <f>YEAR(Table1[[#This Row],[Order Date]])</f>
        <v>2025</v>
      </c>
      <c r="P568" t="str">
        <f>"Q"&amp;ROUNDUP(MONTH(Table1[[#This Row],[Order Date]])/3,0)</f>
        <v>Q2</v>
      </c>
      <c r="Q568" s="3">
        <f>Table1[[#This Row],[Profit]]/Table1[[#This Row],[Sales]]</f>
        <v>0.23355866791160909</v>
      </c>
      <c r="R568" t="str">
        <f>IF(Table1[[#This Row],[Sales]]&lt;1000,"LOW",IF(Table1[[#This Row],[Sales]]&lt;5000,"MEDIUM","HIGH"))</f>
        <v>HIGH</v>
      </c>
      <c r="S568" s="2">
        <f>Table1[[#This Row],[Discount]]/100</f>
        <v>0.15</v>
      </c>
    </row>
    <row r="569" spans="1:19" x14ac:dyDescent="0.3">
      <c r="A569">
        <v>10568</v>
      </c>
      <c r="B569" s="1" t="s">
        <v>524</v>
      </c>
      <c r="C569" t="s">
        <v>519</v>
      </c>
      <c r="D569" t="s">
        <v>56</v>
      </c>
      <c r="E569" t="s">
        <v>57</v>
      </c>
      <c r="F569" t="s">
        <v>17</v>
      </c>
      <c r="G569" t="s">
        <v>43</v>
      </c>
      <c r="H569" t="s">
        <v>44</v>
      </c>
      <c r="I569">
        <v>6</v>
      </c>
      <c r="J569">
        <v>17069.400000000001</v>
      </c>
      <c r="K569">
        <v>4914.58</v>
      </c>
      <c r="L569">
        <v>10</v>
      </c>
      <c r="M569" t="s">
        <v>28</v>
      </c>
      <c r="N569" t="str">
        <f>TEXT(Table1[[#This Row],[Order Date]],"MMMM")</f>
        <v>March</v>
      </c>
      <c r="O569">
        <f>YEAR(Table1[[#This Row],[Order Date]])</f>
        <v>2025</v>
      </c>
      <c r="P569" t="str">
        <f>"Q"&amp;ROUNDUP(MONTH(Table1[[#This Row],[Order Date]])/3,0)</f>
        <v>Q1</v>
      </c>
      <c r="Q569" s="3">
        <f>Table1[[#This Row],[Profit]]/Table1[[#This Row],[Sales]]</f>
        <v>0.28791756007826869</v>
      </c>
      <c r="R569" t="str">
        <f>IF(Table1[[#This Row],[Sales]]&lt;1000,"LOW",IF(Table1[[#This Row],[Sales]]&lt;5000,"MEDIUM","HIGH"))</f>
        <v>HIGH</v>
      </c>
      <c r="S569" s="2">
        <f>Table1[[#This Row],[Discount]]/100</f>
        <v>0.1</v>
      </c>
    </row>
    <row r="570" spans="1:19" x14ac:dyDescent="0.3">
      <c r="A570">
        <v>10569</v>
      </c>
      <c r="B570" s="1" t="s">
        <v>188</v>
      </c>
      <c r="C570" t="s">
        <v>111</v>
      </c>
      <c r="D570" t="s">
        <v>36</v>
      </c>
      <c r="E570" t="s">
        <v>37</v>
      </c>
      <c r="F570" t="s">
        <v>31</v>
      </c>
      <c r="G570" t="s">
        <v>89</v>
      </c>
      <c r="H570" t="s">
        <v>90</v>
      </c>
      <c r="I570">
        <v>5</v>
      </c>
      <c r="J570">
        <v>19592</v>
      </c>
      <c r="K570">
        <v>4049.74</v>
      </c>
      <c r="L570">
        <v>20</v>
      </c>
      <c r="M570" t="s">
        <v>20</v>
      </c>
      <c r="N570" t="str">
        <f>TEXT(Table1[[#This Row],[Order Date]],"MMMM")</f>
        <v>October</v>
      </c>
      <c r="O570">
        <f>YEAR(Table1[[#This Row],[Order Date]])</f>
        <v>2025</v>
      </c>
      <c r="P570" t="str">
        <f>"Q"&amp;ROUNDUP(MONTH(Table1[[#This Row],[Order Date]])/3,0)</f>
        <v>Q4</v>
      </c>
      <c r="Q570" s="3">
        <f>Table1[[#This Row],[Profit]]/Table1[[#This Row],[Sales]]</f>
        <v>0.20670375663536136</v>
      </c>
      <c r="R570" t="str">
        <f>IF(Table1[[#This Row],[Sales]]&lt;1000,"LOW",IF(Table1[[#This Row],[Sales]]&lt;5000,"MEDIUM","HIGH"))</f>
        <v>HIGH</v>
      </c>
      <c r="S570" s="2">
        <f>Table1[[#This Row],[Discount]]/100</f>
        <v>0.2</v>
      </c>
    </row>
    <row r="571" spans="1:19" x14ac:dyDescent="0.3">
      <c r="A571">
        <v>10570</v>
      </c>
      <c r="B571" s="1" t="s">
        <v>525</v>
      </c>
      <c r="C571" t="s">
        <v>377</v>
      </c>
      <c r="D571" t="s">
        <v>52</v>
      </c>
      <c r="E571" t="s">
        <v>53</v>
      </c>
      <c r="F571" t="s">
        <v>31</v>
      </c>
      <c r="G571" t="s">
        <v>124</v>
      </c>
      <c r="H571" t="s">
        <v>125</v>
      </c>
      <c r="I571">
        <v>6</v>
      </c>
      <c r="J571">
        <v>20251.2</v>
      </c>
      <c r="K571">
        <v>4367.24</v>
      </c>
      <c r="L571">
        <v>20</v>
      </c>
      <c r="M571" t="s">
        <v>45</v>
      </c>
      <c r="N571" t="str">
        <f>TEXT(Table1[[#This Row],[Order Date]],"MMMM")</f>
        <v>October</v>
      </c>
      <c r="O571">
        <f>YEAR(Table1[[#This Row],[Order Date]])</f>
        <v>2025</v>
      </c>
      <c r="P571" t="str">
        <f>"Q"&amp;ROUNDUP(MONTH(Table1[[#This Row],[Order Date]])/3,0)</f>
        <v>Q4</v>
      </c>
      <c r="Q571" s="3">
        <f>Table1[[#This Row],[Profit]]/Table1[[#This Row],[Sales]]</f>
        <v>0.21565339337915776</v>
      </c>
      <c r="R571" t="str">
        <f>IF(Table1[[#This Row],[Sales]]&lt;1000,"LOW",IF(Table1[[#This Row],[Sales]]&lt;5000,"MEDIUM","HIGH"))</f>
        <v>HIGH</v>
      </c>
      <c r="S571" s="2">
        <f>Table1[[#This Row],[Discount]]/100</f>
        <v>0.2</v>
      </c>
    </row>
    <row r="572" spans="1:19" x14ac:dyDescent="0.3">
      <c r="A572">
        <v>10571</v>
      </c>
      <c r="B572" s="1" t="s">
        <v>526</v>
      </c>
      <c r="C572" t="s">
        <v>286</v>
      </c>
      <c r="D572" t="s">
        <v>36</v>
      </c>
      <c r="E572" t="s">
        <v>37</v>
      </c>
      <c r="F572" t="s">
        <v>17</v>
      </c>
      <c r="G572" t="s">
        <v>18</v>
      </c>
      <c r="H572" t="s">
        <v>19</v>
      </c>
      <c r="I572">
        <v>3</v>
      </c>
      <c r="J572">
        <v>5198.3999999999996</v>
      </c>
      <c r="K572">
        <v>1465.51</v>
      </c>
      <c r="L572">
        <v>5</v>
      </c>
      <c r="M572" t="s">
        <v>45</v>
      </c>
      <c r="N572" t="str">
        <f>TEXT(Table1[[#This Row],[Order Date]],"MMMM")</f>
        <v>February</v>
      </c>
      <c r="O572">
        <f>YEAR(Table1[[#This Row],[Order Date]])</f>
        <v>2025</v>
      </c>
      <c r="P572" t="str">
        <f>"Q"&amp;ROUNDUP(MONTH(Table1[[#This Row],[Order Date]])/3,0)</f>
        <v>Q1</v>
      </c>
      <c r="Q572" s="3">
        <f>Table1[[#This Row],[Profit]]/Table1[[#This Row],[Sales]]</f>
        <v>0.2819155894121268</v>
      </c>
      <c r="R572" t="str">
        <f>IF(Table1[[#This Row],[Sales]]&lt;1000,"LOW",IF(Table1[[#This Row],[Sales]]&lt;5000,"MEDIUM","HIGH"))</f>
        <v>HIGH</v>
      </c>
      <c r="S572" s="2">
        <f>Table1[[#This Row],[Discount]]/100</f>
        <v>0.05</v>
      </c>
    </row>
    <row r="573" spans="1:19" x14ac:dyDescent="0.3">
      <c r="A573">
        <v>10572</v>
      </c>
      <c r="B573" s="1" t="s">
        <v>449</v>
      </c>
      <c r="C573" t="s">
        <v>14</v>
      </c>
      <c r="D573" t="s">
        <v>23</v>
      </c>
      <c r="E573" t="s">
        <v>24</v>
      </c>
      <c r="F573" t="s">
        <v>31</v>
      </c>
      <c r="G573" t="s">
        <v>124</v>
      </c>
      <c r="H573" t="s">
        <v>125</v>
      </c>
      <c r="I573">
        <v>2</v>
      </c>
      <c r="J573">
        <v>8789.4</v>
      </c>
      <c r="K573">
        <v>1571.61</v>
      </c>
      <c r="L573">
        <v>5</v>
      </c>
      <c r="M573" t="s">
        <v>45</v>
      </c>
      <c r="N573" t="str">
        <f>TEXT(Table1[[#This Row],[Order Date]],"MMMM")</f>
        <v>January</v>
      </c>
      <c r="O573">
        <f>YEAR(Table1[[#This Row],[Order Date]])</f>
        <v>2025</v>
      </c>
      <c r="P573" t="str">
        <f>"Q"&amp;ROUNDUP(MONTH(Table1[[#This Row],[Order Date]])/3,0)</f>
        <v>Q1</v>
      </c>
      <c r="Q573" s="3">
        <f>Table1[[#This Row],[Profit]]/Table1[[#This Row],[Sales]]</f>
        <v>0.17880742712813161</v>
      </c>
      <c r="R573" t="str">
        <f>IF(Table1[[#This Row],[Sales]]&lt;1000,"LOW",IF(Table1[[#This Row],[Sales]]&lt;5000,"MEDIUM","HIGH"))</f>
        <v>HIGH</v>
      </c>
      <c r="S573" s="2">
        <f>Table1[[#This Row],[Discount]]/100</f>
        <v>0.05</v>
      </c>
    </row>
    <row r="574" spans="1:19" x14ac:dyDescent="0.3">
      <c r="A574">
        <v>10573</v>
      </c>
      <c r="B574" s="1" t="s">
        <v>383</v>
      </c>
      <c r="C574" t="s">
        <v>357</v>
      </c>
      <c r="D574" t="s">
        <v>36</v>
      </c>
      <c r="E574" t="s">
        <v>37</v>
      </c>
      <c r="F574" t="s">
        <v>31</v>
      </c>
      <c r="G574" t="s">
        <v>32</v>
      </c>
      <c r="H574" t="s">
        <v>33</v>
      </c>
      <c r="I574">
        <v>4</v>
      </c>
      <c r="J574">
        <v>13988</v>
      </c>
      <c r="K574">
        <v>3868.68</v>
      </c>
      <c r="L574">
        <v>0</v>
      </c>
      <c r="M574" t="s">
        <v>20</v>
      </c>
      <c r="N574" t="str">
        <f>TEXT(Table1[[#This Row],[Order Date]],"MMMM")</f>
        <v>February</v>
      </c>
      <c r="O574">
        <f>YEAR(Table1[[#This Row],[Order Date]])</f>
        <v>2025</v>
      </c>
      <c r="P574" t="str">
        <f>"Q"&amp;ROUNDUP(MONTH(Table1[[#This Row],[Order Date]])/3,0)</f>
        <v>Q1</v>
      </c>
      <c r="Q574" s="3">
        <f>Table1[[#This Row],[Profit]]/Table1[[#This Row],[Sales]]</f>
        <v>0.27657134686874463</v>
      </c>
      <c r="R574" t="str">
        <f>IF(Table1[[#This Row],[Sales]]&lt;1000,"LOW",IF(Table1[[#This Row],[Sales]]&lt;5000,"MEDIUM","HIGH"))</f>
        <v>HIGH</v>
      </c>
      <c r="S574" s="2">
        <f>Table1[[#This Row],[Discount]]/100</f>
        <v>0</v>
      </c>
    </row>
    <row r="575" spans="1:19" x14ac:dyDescent="0.3">
      <c r="A575">
        <v>10574</v>
      </c>
      <c r="B575" s="1" t="s">
        <v>390</v>
      </c>
      <c r="C575" t="s">
        <v>445</v>
      </c>
      <c r="D575" t="s">
        <v>74</v>
      </c>
      <c r="E575" t="s">
        <v>74</v>
      </c>
      <c r="F575" t="s">
        <v>17</v>
      </c>
      <c r="G575" t="s">
        <v>43</v>
      </c>
      <c r="H575" t="s">
        <v>44</v>
      </c>
      <c r="I575">
        <v>7</v>
      </c>
      <c r="J575">
        <v>21931.7</v>
      </c>
      <c r="K575">
        <v>5956.93</v>
      </c>
      <c r="L575">
        <v>5</v>
      </c>
      <c r="M575" t="s">
        <v>49</v>
      </c>
      <c r="N575" t="str">
        <f>TEXT(Table1[[#This Row],[Order Date]],"MMMM")</f>
        <v>December</v>
      </c>
      <c r="O575">
        <f>YEAR(Table1[[#This Row],[Order Date]])</f>
        <v>2025</v>
      </c>
      <c r="P575" t="str">
        <f>"Q"&amp;ROUNDUP(MONTH(Table1[[#This Row],[Order Date]])/3,0)</f>
        <v>Q4</v>
      </c>
      <c r="Q575" s="3">
        <f>Table1[[#This Row],[Profit]]/Table1[[#This Row],[Sales]]</f>
        <v>0.27161277967508218</v>
      </c>
      <c r="R575" t="str">
        <f>IF(Table1[[#This Row],[Sales]]&lt;1000,"LOW",IF(Table1[[#This Row],[Sales]]&lt;5000,"MEDIUM","HIGH"))</f>
        <v>HIGH</v>
      </c>
      <c r="S575" s="2">
        <f>Table1[[#This Row],[Discount]]/100</f>
        <v>0.05</v>
      </c>
    </row>
    <row r="576" spans="1:19" x14ac:dyDescent="0.3">
      <c r="A576">
        <v>10575</v>
      </c>
      <c r="B576" s="1" t="s">
        <v>230</v>
      </c>
      <c r="C576" t="s">
        <v>14</v>
      </c>
      <c r="D576" t="s">
        <v>60</v>
      </c>
      <c r="E576" t="s">
        <v>61</v>
      </c>
      <c r="F576" t="s">
        <v>17</v>
      </c>
      <c r="G576" t="s">
        <v>18</v>
      </c>
      <c r="H576" t="s">
        <v>19</v>
      </c>
      <c r="I576">
        <v>1</v>
      </c>
      <c r="J576">
        <v>1462.05</v>
      </c>
      <c r="K576">
        <v>144.85</v>
      </c>
      <c r="L576">
        <v>5</v>
      </c>
      <c r="M576" t="s">
        <v>40</v>
      </c>
      <c r="N576" t="str">
        <f>TEXT(Table1[[#This Row],[Order Date]],"MMMM")</f>
        <v>February</v>
      </c>
      <c r="O576">
        <f>YEAR(Table1[[#This Row],[Order Date]])</f>
        <v>2025</v>
      </c>
      <c r="P576" t="str">
        <f>"Q"&amp;ROUNDUP(MONTH(Table1[[#This Row],[Order Date]])/3,0)</f>
        <v>Q1</v>
      </c>
      <c r="Q576" s="3">
        <f>Table1[[#This Row],[Profit]]/Table1[[#This Row],[Sales]]</f>
        <v>9.9073219110153557E-2</v>
      </c>
      <c r="R576" t="str">
        <f>IF(Table1[[#This Row],[Sales]]&lt;1000,"LOW",IF(Table1[[#This Row],[Sales]]&lt;5000,"MEDIUM","HIGH"))</f>
        <v>MEDIUM</v>
      </c>
      <c r="S576" s="2">
        <f>Table1[[#This Row],[Discount]]/100</f>
        <v>0.05</v>
      </c>
    </row>
    <row r="577" spans="1:19" x14ac:dyDescent="0.3">
      <c r="A577">
        <v>10576</v>
      </c>
      <c r="B577" s="1" t="s">
        <v>290</v>
      </c>
      <c r="C577" t="s">
        <v>241</v>
      </c>
      <c r="D577" t="s">
        <v>52</v>
      </c>
      <c r="E577" t="s">
        <v>53</v>
      </c>
      <c r="F577" t="s">
        <v>25</v>
      </c>
      <c r="G577" t="s">
        <v>26</v>
      </c>
      <c r="H577" t="s">
        <v>71</v>
      </c>
      <c r="I577">
        <v>7</v>
      </c>
      <c r="J577">
        <v>29346.45</v>
      </c>
      <c r="K577">
        <v>5811.83</v>
      </c>
      <c r="L577">
        <v>5</v>
      </c>
      <c r="M577" t="s">
        <v>45</v>
      </c>
      <c r="N577" t="str">
        <f>TEXT(Table1[[#This Row],[Order Date]],"MMMM")</f>
        <v>June</v>
      </c>
      <c r="O577">
        <f>YEAR(Table1[[#This Row],[Order Date]])</f>
        <v>2025</v>
      </c>
      <c r="P577" t="str">
        <f>"Q"&amp;ROUNDUP(MONTH(Table1[[#This Row],[Order Date]])/3,0)</f>
        <v>Q2</v>
      </c>
      <c r="Q577" s="3">
        <f>Table1[[#This Row],[Profit]]/Table1[[#This Row],[Sales]]</f>
        <v>0.19804201189581702</v>
      </c>
      <c r="R577" t="str">
        <f>IF(Table1[[#This Row],[Sales]]&lt;1000,"LOW",IF(Table1[[#This Row],[Sales]]&lt;5000,"MEDIUM","HIGH"))</f>
        <v>HIGH</v>
      </c>
      <c r="S577" s="2">
        <f>Table1[[#This Row],[Discount]]/100</f>
        <v>0.05</v>
      </c>
    </row>
    <row r="578" spans="1:19" x14ac:dyDescent="0.3">
      <c r="A578">
        <v>10577</v>
      </c>
      <c r="B578" s="1" t="s">
        <v>194</v>
      </c>
      <c r="C578" t="s">
        <v>288</v>
      </c>
      <c r="D578" t="s">
        <v>23</v>
      </c>
      <c r="E578" t="s">
        <v>24</v>
      </c>
      <c r="F578" t="s">
        <v>31</v>
      </c>
      <c r="G578" t="s">
        <v>32</v>
      </c>
      <c r="H578" t="s">
        <v>33</v>
      </c>
      <c r="I578">
        <v>7</v>
      </c>
      <c r="J578">
        <v>32312.35</v>
      </c>
      <c r="K578">
        <v>6881.3</v>
      </c>
      <c r="L578">
        <v>5</v>
      </c>
      <c r="M578" t="s">
        <v>40</v>
      </c>
      <c r="N578" t="str">
        <f>TEXT(Table1[[#This Row],[Order Date]],"MMMM")</f>
        <v>April</v>
      </c>
      <c r="O578">
        <f>YEAR(Table1[[#This Row],[Order Date]])</f>
        <v>2025</v>
      </c>
      <c r="P578" t="str">
        <f>"Q"&amp;ROUNDUP(MONTH(Table1[[#This Row],[Order Date]])/3,0)</f>
        <v>Q2</v>
      </c>
      <c r="Q578" s="3">
        <f>Table1[[#This Row],[Profit]]/Table1[[#This Row],[Sales]]</f>
        <v>0.21296191703791276</v>
      </c>
      <c r="R578" t="str">
        <f>IF(Table1[[#This Row],[Sales]]&lt;1000,"LOW",IF(Table1[[#This Row],[Sales]]&lt;5000,"MEDIUM","HIGH"))</f>
        <v>HIGH</v>
      </c>
      <c r="S578" s="2">
        <f>Table1[[#This Row],[Discount]]/100</f>
        <v>0.05</v>
      </c>
    </row>
    <row r="579" spans="1:19" x14ac:dyDescent="0.3">
      <c r="A579">
        <v>10578</v>
      </c>
      <c r="B579" s="1" t="s">
        <v>101</v>
      </c>
      <c r="C579" t="s">
        <v>308</v>
      </c>
      <c r="D579" t="s">
        <v>36</v>
      </c>
      <c r="E579" t="s">
        <v>37</v>
      </c>
      <c r="F579" t="s">
        <v>31</v>
      </c>
      <c r="G579" t="s">
        <v>38</v>
      </c>
      <c r="H579" t="s">
        <v>39</v>
      </c>
      <c r="I579">
        <v>7</v>
      </c>
      <c r="J579">
        <v>34923</v>
      </c>
      <c r="K579">
        <v>9301.4500000000007</v>
      </c>
      <c r="L579">
        <v>0</v>
      </c>
      <c r="M579" t="s">
        <v>28</v>
      </c>
      <c r="N579" t="str">
        <f>TEXT(Table1[[#This Row],[Order Date]],"MMMM")</f>
        <v>July</v>
      </c>
      <c r="O579">
        <f>YEAR(Table1[[#This Row],[Order Date]])</f>
        <v>2025</v>
      </c>
      <c r="P579" t="str">
        <f>"Q"&amp;ROUNDUP(MONTH(Table1[[#This Row],[Order Date]])/3,0)</f>
        <v>Q3</v>
      </c>
      <c r="Q579" s="3">
        <f>Table1[[#This Row],[Profit]]/Table1[[#This Row],[Sales]]</f>
        <v>0.26634166595080611</v>
      </c>
      <c r="R579" t="str">
        <f>IF(Table1[[#This Row],[Sales]]&lt;1000,"LOW",IF(Table1[[#This Row],[Sales]]&lt;5000,"MEDIUM","HIGH"))</f>
        <v>HIGH</v>
      </c>
      <c r="S579" s="2">
        <f>Table1[[#This Row],[Discount]]/100</f>
        <v>0</v>
      </c>
    </row>
    <row r="580" spans="1:19" x14ac:dyDescent="0.3">
      <c r="A580">
        <v>10579</v>
      </c>
      <c r="B580" s="1" t="s">
        <v>236</v>
      </c>
      <c r="C580" t="s">
        <v>527</v>
      </c>
      <c r="D580" t="s">
        <v>15</v>
      </c>
      <c r="E580" t="s">
        <v>16</v>
      </c>
      <c r="F580" t="s">
        <v>25</v>
      </c>
      <c r="G580" t="s">
        <v>26</v>
      </c>
      <c r="H580" t="s">
        <v>27</v>
      </c>
      <c r="I580">
        <v>5</v>
      </c>
      <c r="J580">
        <v>10635</v>
      </c>
      <c r="K580">
        <v>979.47</v>
      </c>
      <c r="L580">
        <v>0</v>
      </c>
      <c r="M580" t="s">
        <v>49</v>
      </c>
      <c r="N580" t="str">
        <f>TEXT(Table1[[#This Row],[Order Date]],"MMMM")</f>
        <v>April</v>
      </c>
      <c r="O580">
        <f>YEAR(Table1[[#This Row],[Order Date]])</f>
        <v>2025</v>
      </c>
      <c r="P580" t="str">
        <f>"Q"&amp;ROUNDUP(MONTH(Table1[[#This Row],[Order Date]])/3,0)</f>
        <v>Q2</v>
      </c>
      <c r="Q580" s="3">
        <f>Table1[[#This Row],[Profit]]/Table1[[#This Row],[Sales]]</f>
        <v>9.2098730606488016E-2</v>
      </c>
      <c r="R580" t="str">
        <f>IF(Table1[[#This Row],[Sales]]&lt;1000,"LOW",IF(Table1[[#This Row],[Sales]]&lt;5000,"MEDIUM","HIGH"))</f>
        <v>HIGH</v>
      </c>
      <c r="S580" s="2">
        <f>Table1[[#This Row],[Discount]]/100</f>
        <v>0</v>
      </c>
    </row>
    <row r="581" spans="1:19" x14ac:dyDescent="0.3">
      <c r="A581">
        <v>10580</v>
      </c>
      <c r="B581" s="1" t="s">
        <v>72</v>
      </c>
      <c r="C581" t="s">
        <v>528</v>
      </c>
      <c r="D581" t="s">
        <v>66</v>
      </c>
      <c r="E581" t="s">
        <v>16</v>
      </c>
      <c r="F581" t="s">
        <v>31</v>
      </c>
      <c r="G581" t="s">
        <v>124</v>
      </c>
      <c r="H581" t="s">
        <v>125</v>
      </c>
      <c r="I581">
        <v>4</v>
      </c>
      <c r="J581">
        <v>8544</v>
      </c>
      <c r="K581">
        <v>1815.94</v>
      </c>
      <c r="L581">
        <v>0</v>
      </c>
      <c r="M581" t="s">
        <v>49</v>
      </c>
      <c r="N581" t="str">
        <f>TEXT(Table1[[#This Row],[Order Date]],"MMMM")</f>
        <v>March</v>
      </c>
      <c r="O581">
        <f>YEAR(Table1[[#This Row],[Order Date]])</f>
        <v>2025</v>
      </c>
      <c r="P581" t="str">
        <f>"Q"&amp;ROUNDUP(MONTH(Table1[[#This Row],[Order Date]])/3,0)</f>
        <v>Q1</v>
      </c>
      <c r="Q581" s="3">
        <f>Table1[[#This Row],[Profit]]/Table1[[#This Row],[Sales]]</f>
        <v>0.21253979400749065</v>
      </c>
      <c r="R581" t="str">
        <f>IF(Table1[[#This Row],[Sales]]&lt;1000,"LOW",IF(Table1[[#This Row],[Sales]]&lt;5000,"MEDIUM","HIGH"))</f>
        <v>HIGH</v>
      </c>
      <c r="S581" s="2">
        <f>Table1[[#This Row],[Discount]]/100</f>
        <v>0</v>
      </c>
    </row>
    <row r="582" spans="1:19" x14ac:dyDescent="0.3">
      <c r="A582">
        <v>10581</v>
      </c>
      <c r="B582" s="1" t="s">
        <v>411</v>
      </c>
      <c r="C582" t="s">
        <v>366</v>
      </c>
      <c r="D582" t="s">
        <v>66</v>
      </c>
      <c r="E582" t="s">
        <v>16</v>
      </c>
      <c r="F582" t="s">
        <v>25</v>
      </c>
      <c r="G582" t="s">
        <v>95</v>
      </c>
      <c r="H582" t="s">
        <v>96</v>
      </c>
      <c r="I582">
        <v>5</v>
      </c>
      <c r="J582">
        <v>9932.25</v>
      </c>
      <c r="K582">
        <v>849.54</v>
      </c>
      <c r="L582">
        <v>15</v>
      </c>
      <c r="M582" t="s">
        <v>40</v>
      </c>
      <c r="N582" t="str">
        <f>TEXT(Table1[[#This Row],[Order Date]],"MMMM")</f>
        <v>June</v>
      </c>
      <c r="O582">
        <f>YEAR(Table1[[#This Row],[Order Date]])</f>
        <v>2025</v>
      </c>
      <c r="P582" t="str">
        <f>"Q"&amp;ROUNDUP(MONTH(Table1[[#This Row],[Order Date]])/3,0)</f>
        <v>Q2</v>
      </c>
      <c r="Q582" s="3">
        <f>Table1[[#This Row],[Profit]]/Table1[[#This Row],[Sales]]</f>
        <v>8.5533489390621456E-2</v>
      </c>
      <c r="R582" t="str">
        <f>IF(Table1[[#This Row],[Sales]]&lt;1000,"LOW",IF(Table1[[#This Row],[Sales]]&lt;5000,"MEDIUM","HIGH"))</f>
        <v>HIGH</v>
      </c>
      <c r="S582" s="2">
        <f>Table1[[#This Row],[Discount]]/100</f>
        <v>0.15</v>
      </c>
    </row>
    <row r="583" spans="1:19" x14ac:dyDescent="0.3">
      <c r="A583">
        <v>10582</v>
      </c>
      <c r="B583" s="1" t="s">
        <v>426</v>
      </c>
      <c r="C583" t="s">
        <v>366</v>
      </c>
      <c r="D583" t="s">
        <v>56</v>
      </c>
      <c r="E583" t="s">
        <v>57</v>
      </c>
      <c r="F583" t="s">
        <v>31</v>
      </c>
      <c r="G583" t="s">
        <v>32</v>
      </c>
      <c r="H583" t="s">
        <v>33</v>
      </c>
      <c r="I583">
        <v>8</v>
      </c>
      <c r="J583">
        <v>13544</v>
      </c>
      <c r="K583">
        <v>1529.31</v>
      </c>
      <c r="L583">
        <v>0</v>
      </c>
      <c r="M583" t="s">
        <v>45</v>
      </c>
      <c r="N583" t="str">
        <f>TEXT(Table1[[#This Row],[Order Date]],"MMMM")</f>
        <v>September</v>
      </c>
      <c r="O583">
        <f>YEAR(Table1[[#This Row],[Order Date]])</f>
        <v>2025</v>
      </c>
      <c r="P583" t="str">
        <f>"Q"&amp;ROUNDUP(MONTH(Table1[[#This Row],[Order Date]])/3,0)</f>
        <v>Q3</v>
      </c>
      <c r="Q583" s="3">
        <f>Table1[[#This Row],[Profit]]/Table1[[#This Row],[Sales]]</f>
        <v>0.11291420555227406</v>
      </c>
      <c r="R583" t="str">
        <f>IF(Table1[[#This Row],[Sales]]&lt;1000,"LOW",IF(Table1[[#This Row],[Sales]]&lt;5000,"MEDIUM","HIGH"))</f>
        <v>HIGH</v>
      </c>
      <c r="S583" s="2">
        <f>Table1[[#This Row],[Discount]]/100</f>
        <v>0</v>
      </c>
    </row>
    <row r="584" spans="1:19" x14ac:dyDescent="0.3">
      <c r="A584">
        <v>10583</v>
      </c>
      <c r="B584" s="1" t="s">
        <v>120</v>
      </c>
      <c r="C584" t="s">
        <v>529</v>
      </c>
      <c r="D584" t="s">
        <v>66</v>
      </c>
      <c r="E584" t="s">
        <v>16</v>
      </c>
      <c r="F584" t="s">
        <v>31</v>
      </c>
      <c r="G584" t="s">
        <v>38</v>
      </c>
      <c r="H584" t="s">
        <v>39</v>
      </c>
      <c r="I584">
        <v>2</v>
      </c>
      <c r="J584">
        <v>5863.4</v>
      </c>
      <c r="K584">
        <v>673.55</v>
      </c>
      <c r="L584">
        <v>5</v>
      </c>
      <c r="M584" t="s">
        <v>28</v>
      </c>
      <c r="N584" t="str">
        <f>TEXT(Table1[[#This Row],[Order Date]],"MMMM")</f>
        <v>December</v>
      </c>
      <c r="O584">
        <f>YEAR(Table1[[#This Row],[Order Date]])</f>
        <v>2025</v>
      </c>
      <c r="P584" t="str">
        <f>"Q"&amp;ROUNDUP(MONTH(Table1[[#This Row],[Order Date]])/3,0)</f>
        <v>Q4</v>
      </c>
      <c r="Q584" s="3">
        <f>Table1[[#This Row],[Profit]]/Table1[[#This Row],[Sales]]</f>
        <v>0.11487362281270252</v>
      </c>
      <c r="R584" t="str">
        <f>IF(Table1[[#This Row],[Sales]]&lt;1000,"LOW",IF(Table1[[#This Row],[Sales]]&lt;5000,"MEDIUM","HIGH"))</f>
        <v>HIGH</v>
      </c>
      <c r="S584" s="2">
        <f>Table1[[#This Row],[Discount]]/100</f>
        <v>0.05</v>
      </c>
    </row>
    <row r="585" spans="1:19" x14ac:dyDescent="0.3">
      <c r="A585">
        <v>10584</v>
      </c>
      <c r="B585" s="1" t="s">
        <v>463</v>
      </c>
      <c r="C585" t="s">
        <v>326</v>
      </c>
      <c r="D585" t="s">
        <v>23</v>
      </c>
      <c r="E585" t="s">
        <v>24</v>
      </c>
      <c r="F585" t="s">
        <v>31</v>
      </c>
      <c r="G585" t="s">
        <v>32</v>
      </c>
      <c r="H585" t="s">
        <v>33</v>
      </c>
      <c r="I585">
        <v>7</v>
      </c>
      <c r="J585">
        <v>5399.1</v>
      </c>
      <c r="K585">
        <v>1031.22</v>
      </c>
      <c r="L585">
        <v>10</v>
      </c>
      <c r="M585" t="s">
        <v>20</v>
      </c>
      <c r="N585" t="str">
        <f>TEXT(Table1[[#This Row],[Order Date]],"MMMM")</f>
        <v>February</v>
      </c>
      <c r="O585">
        <f>YEAR(Table1[[#This Row],[Order Date]])</f>
        <v>2025</v>
      </c>
      <c r="P585" t="str">
        <f>"Q"&amp;ROUNDUP(MONTH(Table1[[#This Row],[Order Date]])/3,0)</f>
        <v>Q1</v>
      </c>
      <c r="Q585" s="3">
        <f>Table1[[#This Row],[Profit]]/Table1[[#This Row],[Sales]]</f>
        <v>0.19099849974995831</v>
      </c>
      <c r="R585" t="str">
        <f>IF(Table1[[#This Row],[Sales]]&lt;1000,"LOW",IF(Table1[[#This Row],[Sales]]&lt;5000,"MEDIUM","HIGH"))</f>
        <v>HIGH</v>
      </c>
      <c r="S585" s="2">
        <f>Table1[[#This Row],[Discount]]/100</f>
        <v>0.1</v>
      </c>
    </row>
    <row r="586" spans="1:19" x14ac:dyDescent="0.3">
      <c r="A586">
        <v>10585</v>
      </c>
      <c r="B586" s="1" t="s">
        <v>232</v>
      </c>
      <c r="C586" t="s">
        <v>308</v>
      </c>
      <c r="D586" t="s">
        <v>15</v>
      </c>
      <c r="E586" t="s">
        <v>16</v>
      </c>
      <c r="F586" t="s">
        <v>17</v>
      </c>
      <c r="G586" t="s">
        <v>75</v>
      </c>
      <c r="H586" t="s">
        <v>116</v>
      </c>
      <c r="I586">
        <v>3</v>
      </c>
      <c r="J586">
        <v>11010.6</v>
      </c>
      <c r="K586">
        <v>1198.33</v>
      </c>
      <c r="L586">
        <v>10</v>
      </c>
      <c r="M586" t="s">
        <v>45</v>
      </c>
      <c r="N586" t="str">
        <f>TEXT(Table1[[#This Row],[Order Date]],"MMMM")</f>
        <v>November</v>
      </c>
      <c r="O586">
        <f>YEAR(Table1[[#This Row],[Order Date]])</f>
        <v>2025</v>
      </c>
      <c r="P586" t="str">
        <f>"Q"&amp;ROUNDUP(MONTH(Table1[[#This Row],[Order Date]])/3,0)</f>
        <v>Q4</v>
      </c>
      <c r="Q586" s="3">
        <f>Table1[[#This Row],[Profit]]/Table1[[#This Row],[Sales]]</f>
        <v>0.10883421430258114</v>
      </c>
      <c r="R586" t="str">
        <f>IF(Table1[[#This Row],[Sales]]&lt;1000,"LOW",IF(Table1[[#This Row],[Sales]]&lt;5000,"MEDIUM","HIGH"))</f>
        <v>HIGH</v>
      </c>
      <c r="S586" s="2">
        <f>Table1[[#This Row],[Discount]]/100</f>
        <v>0.1</v>
      </c>
    </row>
    <row r="587" spans="1:19" x14ac:dyDescent="0.3">
      <c r="A587">
        <v>10586</v>
      </c>
      <c r="B587" s="1" t="s">
        <v>449</v>
      </c>
      <c r="C587" t="s">
        <v>397</v>
      </c>
      <c r="D587" t="s">
        <v>36</v>
      </c>
      <c r="E587" t="s">
        <v>37</v>
      </c>
      <c r="F587" t="s">
        <v>17</v>
      </c>
      <c r="G587" t="s">
        <v>75</v>
      </c>
      <c r="H587" t="s">
        <v>116</v>
      </c>
      <c r="I587">
        <v>4</v>
      </c>
      <c r="J587">
        <v>7404.8</v>
      </c>
      <c r="K587">
        <v>611.58000000000004</v>
      </c>
      <c r="L587">
        <v>20</v>
      </c>
      <c r="M587" t="s">
        <v>49</v>
      </c>
      <c r="N587" t="str">
        <f>TEXT(Table1[[#This Row],[Order Date]],"MMMM")</f>
        <v>January</v>
      </c>
      <c r="O587">
        <f>YEAR(Table1[[#This Row],[Order Date]])</f>
        <v>2025</v>
      </c>
      <c r="P587" t="str">
        <f>"Q"&amp;ROUNDUP(MONTH(Table1[[#This Row],[Order Date]])/3,0)</f>
        <v>Q1</v>
      </c>
      <c r="Q587" s="3">
        <f>Table1[[#This Row],[Profit]]/Table1[[#This Row],[Sales]]</f>
        <v>8.2592372515125329E-2</v>
      </c>
      <c r="R587" t="str">
        <f>IF(Table1[[#This Row],[Sales]]&lt;1000,"LOW",IF(Table1[[#This Row],[Sales]]&lt;5000,"MEDIUM","HIGH"))</f>
        <v>HIGH</v>
      </c>
      <c r="S587" s="2">
        <f>Table1[[#This Row],[Discount]]/100</f>
        <v>0.2</v>
      </c>
    </row>
    <row r="588" spans="1:19" x14ac:dyDescent="0.3">
      <c r="A588">
        <v>10587</v>
      </c>
      <c r="B588" s="1" t="s">
        <v>503</v>
      </c>
      <c r="C588" t="s">
        <v>500</v>
      </c>
      <c r="D588" t="s">
        <v>52</v>
      </c>
      <c r="E588" t="s">
        <v>53</v>
      </c>
      <c r="F588" t="s">
        <v>31</v>
      </c>
      <c r="G588" t="s">
        <v>32</v>
      </c>
      <c r="H588" t="s">
        <v>33</v>
      </c>
      <c r="I588">
        <v>8</v>
      </c>
      <c r="J588">
        <v>4508.3999999999996</v>
      </c>
      <c r="K588">
        <v>820.62</v>
      </c>
      <c r="L588">
        <v>15</v>
      </c>
      <c r="M588" t="s">
        <v>45</v>
      </c>
      <c r="N588" t="str">
        <f>TEXT(Table1[[#This Row],[Order Date]],"MMMM")</f>
        <v>February</v>
      </c>
      <c r="O588">
        <f>YEAR(Table1[[#This Row],[Order Date]])</f>
        <v>2025</v>
      </c>
      <c r="P588" t="str">
        <f>"Q"&amp;ROUNDUP(MONTH(Table1[[#This Row],[Order Date]])/3,0)</f>
        <v>Q1</v>
      </c>
      <c r="Q588" s="3">
        <f>Table1[[#This Row],[Profit]]/Table1[[#This Row],[Sales]]</f>
        <v>0.18202022890604208</v>
      </c>
      <c r="R588" t="str">
        <f>IF(Table1[[#This Row],[Sales]]&lt;1000,"LOW",IF(Table1[[#This Row],[Sales]]&lt;5000,"MEDIUM","HIGH"))</f>
        <v>MEDIUM</v>
      </c>
      <c r="S588" s="2">
        <f>Table1[[#This Row],[Discount]]/100</f>
        <v>0.15</v>
      </c>
    </row>
    <row r="589" spans="1:19" x14ac:dyDescent="0.3">
      <c r="A589">
        <v>10588</v>
      </c>
      <c r="B589" s="1" t="s">
        <v>101</v>
      </c>
      <c r="C589" t="s">
        <v>150</v>
      </c>
      <c r="D589" t="s">
        <v>66</v>
      </c>
      <c r="E589" t="s">
        <v>16</v>
      </c>
      <c r="F589" t="s">
        <v>25</v>
      </c>
      <c r="G589" t="s">
        <v>26</v>
      </c>
      <c r="H589" t="s">
        <v>27</v>
      </c>
      <c r="I589">
        <v>3</v>
      </c>
      <c r="J589">
        <v>2656.8</v>
      </c>
      <c r="K589">
        <v>352.57</v>
      </c>
      <c r="L589">
        <v>20</v>
      </c>
      <c r="M589" t="s">
        <v>28</v>
      </c>
      <c r="N589" t="str">
        <f>TEXT(Table1[[#This Row],[Order Date]],"MMMM")</f>
        <v>July</v>
      </c>
      <c r="O589">
        <f>YEAR(Table1[[#This Row],[Order Date]])</f>
        <v>2025</v>
      </c>
      <c r="P589" t="str">
        <f>"Q"&amp;ROUNDUP(MONTH(Table1[[#This Row],[Order Date]])/3,0)</f>
        <v>Q3</v>
      </c>
      <c r="Q589" s="3">
        <f>Table1[[#This Row],[Profit]]/Table1[[#This Row],[Sales]]</f>
        <v>0.13270475760313158</v>
      </c>
      <c r="R589" t="str">
        <f>IF(Table1[[#This Row],[Sales]]&lt;1000,"LOW",IF(Table1[[#This Row],[Sales]]&lt;5000,"MEDIUM","HIGH"))</f>
        <v>MEDIUM</v>
      </c>
      <c r="S589" s="2">
        <f>Table1[[#This Row],[Discount]]/100</f>
        <v>0.2</v>
      </c>
    </row>
    <row r="590" spans="1:19" x14ac:dyDescent="0.3">
      <c r="A590">
        <v>10589</v>
      </c>
      <c r="B590" s="1" t="s">
        <v>147</v>
      </c>
      <c r="C590" t="s">
        <v>322</v>
      </c>
      <c r="D590" t="s">
        <v>52</v>
      </c>
      <c r="E590" t="s">
        <v>53</v>
      </c>
      <c r="F590" t="s">
        <v>25</v>
      </c>
      <c r="G590" t="s">
        <v>26</v>
      </c>
      <c r="H590" t="s">
        <v>27</v>
      </c>
      <c r="I590">
        <v>3</v>
      </c>
      <c r="J590">
        <v>10832.4</v>
      </c>
      <c r="K590">
        <v>1297.6300000000001</v>
      </c>
      <c r="L590">
        <v>10</v>
      </c>
      <c r="M590" t="s">
        <v>20</v>
      </c>
      <c r="N590" t="str">
        <f>TEXT(Table1[[#This Row],[Order Date]],"MMMM")</f>
        <v>March</v>
      </c>
      <c r="O590">
        <f>YEAR(Table1[[#This Row],[Order Date]])</f>
        <v>2025</v>
      </c>
      <c r="P590" t="str">
        <f>"Q"&amp;ROUNDUP(MONTH(Table1[[#This Row],[Order Date]])/3,0)</f>
        <v>Q1</v>
      </c>
      <c r="Q590" s="3">
        <f>Table1[[#This Row],[Profit]]/Table1[[#This Row],[Sales]]</f>
        <v>0.11979155127210961</v>
      </c>
      <c r="R590" t="str">
        <f>IF(Table1[[#This Row],[Sales]]&lt;1000,"LOW",IF(Table1[[#This Row],[Sales]]&lt;5000,"MEDIUM","HIGH"))</f>
        <v>HIGH</v>
      </c>
      <c r="S590" s="2">
        <f>Table1[[#This Row],[Discount]]/100</f>
        <v>0.1</v>
      </c>
    </row>
    <row r="591" spans="1:19" x14ac:dyDescent="0.3">
      <c r="A591">
        <v>10590</v>
      </c>
      <c r="B591" s="1" t="s">
        <v>93</v>
      </c>
      <c r="C591" t="s">
        <v>174</v>
      </c>
      <c r="D591" t="s">
        <v>36</v>
      </c>
      <c r="E591" t="s">
        <v>37</v>
      </c>
      <c r="F591" t="s">
        <v>25</v>
      </c>
      <c r="G591" t="s">
        <v>26</v>
      </c>
      <c r="H591" t="s">
        <v>27</v>
      </c>
      <c r="I591">
        <v>5</v>
      </c>
      <c r="J591">
        <v>18492</v>
      </c>
      <c r="K591">
        <v>1863.99</v>
      </c>
      <c r="L591">
        <v>20</v>
      </c>
      <c r="M591" t="s">
        <v>20</v>
      </c>
      <c r="N591" t="str">
        <f>TEXT(Table1[[#This Row],[Order Date]],"MMMM")</f>
        <v>August</v>
      </c>
      <c r="O591">
        <f>YEAR(Table1[[#This Row],[Order Date]])</f>
        <v>2025</v>
      </c>
      <c r="P591" t="str">
        <f>"Q"&amp;ROUNDUP(MONTH(Table1[[#This Row],[Order Date]])/3,0)</f>
        <v>Q3</v>
      </c>
      <c r="Q591" s="3">
        <f>Table1[[#This Row],[Profit]]/Table1[[#This Row],[Sales]]</f>
        <v>0.10079980532121999</v>
      </c>
      <c r="R591" t="str">
        <f>IF(Table1[[#This Row],[Sales]]&lt;1000,"LOW",IF(Table1[[#This Row],[Sales]]&lt;5000,"MEDIUM","HIGH"))</f>
        <v>HIGH</v>
      </c>
      <c r="S591" s="2">
        <f>Table1[[#This Row],[Discount]]/100</f>
        <v>0.2</v>
      </c>
    </row>
    <row r="592" spans="1:19" x14ac:dyDescent="0.3">
      <c r="A592">
        <v>10591</v>
      </c>
      <c r="B592" s="1" t="s">
        <v>472</v>
      </c>
      <c r="C592" t="s">
        <v>59</v>
      </c>
      <c r="D592" t="s">
        <v>23</v>
      </c>
      <c r="E592" t="s">
        <v>24</v>
      </c>
      <c r="F592" t="s">
        <v>17</v>
      </c>
      <c r="G592" t="s">
        <v>75</v>
      </c>
      <c r="H592" t="s">
        <v>116</v>
      </c>
      <c r="I592">
        <v>1</v>
      </c>
      <c r="J592">
        <v>399</v>
      </c>
      <c r="K592">
        <v>93.19</v>
      </c>
      <c r="L592">
        <v>5</v>
      </c>
      <c r="M592" t="s">
        <v>49</v>
      </c>
      <c r="N592" t="str">
        <f>TEXT(Table1[[#This Row],[Order Date]],"MMMM")</f>
        <v>October</v>
      </c>
      <c r="O592">
        <f>YEAR(Table1[[#This Row],[Order Date]])</f>
        <v>2025</v>
      </c>
      <c r="P592" t="str">
        <f>"Q"&amp;ROUNDUP(MONTH(Table1[[#This Row],[Order Date]])/3,0)</f>
        <v>Q4</v>
      </c>
      <c r="Q592" s="3">
        <f>Table1[[#This Row],[Profit]]/Table1[[#This Row],[Sales]]</f>
        <v>0.23355889724310777</v>
      </c>
      <c r="R592" t="str">
        <f>IF(Table1[[#This Row],[Sales]]&lt;1000,"LOW",IF(Table1[[#This Row],[Sales]]&lt;5000,"MEDIUM","HIGH"))</f>
        <v>LOW</v>
      </c>
      <c r="S592" s="2">
        <f>Table1[[#This Row],[Discount]]/100</f>
        <v>0.05</v>
      </c>
    </row>
    <row r="593" spans="1:19" x14ac:dyDescent="0.3">
      <c r="A593">
        <v>10592</v>
      </c>
      <c r="B593" s="1" t="s">
        <v>173</v>
      </c>
      <c r="C593" t="s">
        <v>391</v>
      </c>
      <c r="D593" t="s">
        <v>66</v>
      </c>
      <c r="E593" t="s">
        <v>16</v>
      </c>
      <c r="F593" t="s">
        <v>25</v>
      </c>
      <c r="G593" t="s">
        <v>26</v>
      </c>
      <c r="H593" t="s">
        <v>71</v>
      </c>
      <c r="I593">
        <v>6</v>
      </c>
      <c r="J593">
        <v>4986</v>
      </c>
      <c r="K593">
        <v>1221.5899999999999</v>
      </c>
      <c r="L593">
        <v>0</v>
      </c>
      <c r="M593" t="s">
        <v>40</v>
      </c>
      <c r="N593" t="str">
        <f>TEXT(Table1[[#This Row],[Order Date]],"MMMM")</f>
        <v>August</v>
      </c>
      <c r="O593">
        <f>YEAR(Table1[[#This Row],[Order Date]])</f>
        <v>2025</v>
      </c>
      <c r="P593" t="str">
        <f>"Q"&amp;ROUNDUP(MONTH(Table1[[#This Row],[Order Date]])/3,0)</f>
        <v>Q3</v>
      </c>
      <c r="Q593" s="3">
        <f>Table1[[#This Row],[Profit]]/Table1[[#This Row],[Sales]]</f>
        <v>0.24500401123144805</v>
      </c>
      <c r="R593" t="str">
        <f>IF(Table1[[#This Row],[Sales]]&lt;1000,"LOW",IF(Table1[[#This Row],[Sales]]&lt;5000,"MEDIUM","HIGH"))</f>
        <v>MEDIUM</v>
      </c>
      <c r="S593" s="2">
        <f>Table1[[#This Row],[Discount]]/100</f>
        <v>0</v>
      </c>
    </row>
    <row r="594" spans="1:19" x14ac:dyDescent="0.3">
      <c r="A594">
        <v>10593</v>
      </c>
      <c r="B594" s="1" t="s">
        <v>234</v>
      </c>
      <c r="C594" t="s">
        <v>286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6</v>
      </c>
      <c r="J594">
        <v>9132</v>
      </c>
      <c r="K594">
        <v>1660.13</v>
      </c>
      <c r="L594">
        <v>0</v>
      </c>
      <c r="M594" t="s">
        <v>45</v>
      </c>
      <c r="N594" t="str">
        <f>TEXT(Table1[[#This Row],[Order Date]],"MMMM")</f>
        <v>March</v>
      </c>
      <c r="O594">
        <f>YEAR(Table1[[#This Row],[Order Date]])</f>
        <v>2025</v>
      </c>
      <c r="P594" t="str">
        <f>"Q"&amp;ROUNDUP(MONTH(Table1[[#This Row],[Order Date]])/3,0)</f>
        <v>Q1</v>
      </c>
      <c r="Q594" s="3">
        <f>Table1[[#This Row],[Profit]]/Table1[[#This Row],[Sales]]</f>
        <v>0.18179259745948315</v>
      </c>
      <c r="R594" t="str">
        <f>IF(Table1[[#This Row],[Sales]]&lt;1000,"LOW",IF(Table1[[#This Row],[Sales]]&lt;5000,"MEDIUM","HIGH"))</f>
        <v>HIGH</v>
      </c>
      <c r="S594" s="2">
        <f>Table1[[#This Row],[Discount]]/100</f>
        <v>0</v>
      </c>
    </row>
    <row r="595" spans="1:19" x14ac:dyDescent="0.3">
      <c r="A595">
        <v>10594</v>
      </c>
      <c r="B595" s="1" t="s">
        <v>183</v>
      </c>
      <c r="C595" t="s">
        <v>121</v>
      </c>
      <c r="D595" t="s">
        <v>52</v>
      </c>
      <c r="E595" t="s">
        <v>53</v>
      </c>
      <c r="F595" t="s">
        <v>17</v>
      </c>
      <c r="G595" t="s">
        <v>75</v>
      </c>
      <c r="H595" t="s">
        <v>76</v>
      </c>
      <c r="I595">
        <v>8</v>
      </c>
      <c r="J595">
        <v>15728</v>
      </c>
      <c r="K595">
        <v>2459.14</v>
      </c>
      <c r="L595">
        <v>0</v>
      </c>
      <c r="M595" t="s">
        <v>45</v>
      </c>
      <c r="N595" t="str">
        <f>TEXT(Table1[[#This Row],[Order Date]],"MMMM")</f>
        <v>January</v>
      </c>
      <c r="O595">
        <f>YEAR(Table1[[#This Row],[Order Date]])</f>
        <v>2025</v>
      </c>
      <c r="P595" t="str">
        <f>"Q"&amp;ROUNDUP(MONTH(Table1[[#This Row],[Order Date]])/3,0)</f>
        <v>Q1</v>
      </c>
      <c r="Q595" s="3">
        <f>Table1[[#This Row],[Profit]]/Table1[[#This Row],[Sales]]</f>
        <v>0.15635427263479146</v>
      </c>
      <c r="R595" t="str">
        <f>IF(Table1[[#This Row],[Sales]]&lt;1000,"LOW",IF(Table1[[#This Row],[Sales]]&lt;5000,"MEDIUM","HIGH"))</f>
        <v>HIGH</v>
      </c>
      <c r="S595" s="2">
        <f>Table1[[#This Row],[Discount]]/100</f>
        <v>0</v>
      </c>
    </row>
    <row r="596" spans="1:19" x14ac:dyDescent="0.3">
      <c r="A596">
        <v>10595</v>
      </c>
      <c r="B596" s="1" t="s">
        <v>325</v>
      </c>
      <c r="C596" t="s">
        <v>177</v>
      </c>
      <c r="D596" t="s">
        <v>52</v>
      </c>
      <c r="E596" t="s">
        <v>53</v>
      </c>
      <c r="F596" t="s">
        <v>17</v>
      </c>
      <c r="G596" t="s">
        <v>43</v>
      </c>
      <c r="H596" t="s">
        <v>44</v>
      </c>
      <c r="I596">
        <v>7</v>
      </c>
      <c r="J596">
        <v>23913.4</v>
      </c>
      <c r="K596">
        <v>2861.2</v>
      </c>
      <c r="L596">
        <v>5</v>
      </c>
      <c r="M596" t="s">
        <v>45</v>
      </c>
      <c r="N596" t="str">
        <f>TEXT(Table1[[#This Row],[Order Date]],"MMMM")</f>
        <v>November</v>
      </c>
      <c r="O596">
        <f>YEAR(Table1[[#This Row],[Order Date]])</f>
        <v>2025</v>
      </c>
      <c r="P596" t="str">
        <f>"Q"&amp;ROUNDUP(MONTH(Table1[[#This Row],[Order Date]])/3,0)</f>
        <v>Q4</v>
      </c>
      <c r="Q596" s="3">
        <f>Table1[[#This Row],[Profit]]/Table1[[#This Row],[Sales]]</f>
        <v>0.11964839796933935</v>
      </c>
      <c r="R596" t="str">
        <f>IF(Table1[[#This Row],[Sales]]&lt;1000,"LOW",IF(Table1[[#This Row],[Sales]]&lt;5000,"MEDIUM","HIGH"))</f>
        <v>HIGH</v>
      </c>
      <c r="S596" s="2">
        <f>Table1[[#This Row],[Discount]]/100</f>
        <v>0.05</v>
      </c>
    </row>
    <row r="597" spans="1:19" x14ac:dyDescent="0.3">
      <c r="A597">
        <v>10596</v>
      </c>
      <c r="B597" s="1" t="s">
        <v>352</v>
      </c>
      <c r="C597" t="s">
        <v>231</v>
      </c>
      <c r="D597" t="s">
        <v>74</v>
      </c>
      <c r="E597" t="s">
        <v>74</v>
      </c>
      <c r="F597" t="s">
        <v>31</v>
      </c>
      <c r="G597" t="s">
        <v>124</v>
      </c>
      <c r="H597" t="s">
        <v>125</v>
      </c>
      <c r="I597">
        <v>7</v>
      </c>
      <c r="J597">
        <v>6977.6</v>
      </c>
      <c r="K597">
        <v>1835.71</v>
      </c>
      <c r="L597">
        <v>20</v>
      </c>
      <c r="M597" t="s">
        <v>45</v>
      </c>
      <c r="N597" t="str">
        <f>TEXT(Table1[[#This Row],[Order Date]],"MMMM")</f>
        <v>April</v>
      </c>
      <c r="O597">
        <f>YEAR(Table1[[#This Row],[Order Date]])</f>
        <v>2025</v>
      </c>
      <c r="P597" t="str">
        <f>"Q"&amp;ROUNDUP(MONTH(Table1[[#This Row],[Order Date]])/3,0)</f>
        <v>Q2</v>
      </c>
      <c r="Q597" s="3">
        <f>Table1[[#This Row],[Profit]]/Table1[[#This Row],[Sales]]</f>
        <v>0.2630861614308645</v>
      </c>
      <c r="R597" t="str">
        <f>IF(Table1[[#This Row],[Sales]]&lt;1000,"LOW",IF(Table1[[#This Row],[Sales]]&lt;5000,"MEDIUM","HIGH"))</f>
        <v>HIGH</v>
      </c>
      <c r="S597" s="2">
        <f>Table1[[#This Row],[Discount]]/100</f>
        <v>0.2</v>
      </c>
    </row>
    <row r="598" spans="1:19" x14ac:dyDescent="0.3">
      <c r="A598">
        <v>10597</v>
      </c>
      <c r="B598" s="1" t="s">
        <v>530</v>
      </c>
      <c r="C598" t="s">
        <v>531</v>
      </c>
      <c r="D598" t="s">
        <v>66</v>
      </c>
      <c r="E598" t="s">
        <v>16</v>
      </c>
      <c r="F598" t="s">
        <v>31</v>
      </c>
      <c r="G598" t="s">
        <v>124</v>
      </c>
      <c r="H598" t="s">
        <v>125</v>
      </c>
      <c r="I598">
        <v>3</v>
      </c>
      <c r="J598">
        <v>11340.15</v>
      </c>
      <c r="K598">
        <v>1444.38</v>
      </c>
      <c r="L598">
        <v>5</v>
      </c>
      <c r="M598" t="s">
        <v>49</v>
      </c>
      <c r="N598" t="str">
        <f>TEXT(Table1[[#This Row],[Order Date]],"MMMM")</f>
        <v>June</v>
      </c>
      <c r="O598">
        <f>YEAR(Table1[[#This Row],[Order Date]])</f>
        <v>2025</v>
      </c>
      <c r="P598" t="str">
        <f>"Q"&amp;ROUNDUP(MONTH(Table1[[#This Row],[Order Date]])/3,0)</f>
        <v>Q2</v>
      </c>
      <c r="Q598" s="3">
        <f>Table1[[#This Row],[Profit]]/Table1[[#This Row],[Sales]]</f>
        <v>0.12736868559939685</v>
      </c>
      <c r="R598" t="str">
        <f>IF(Table1[[#This Row],[Sales]]&lt;1000,"LOW",IF(Table1[[#This Row],[Sales]]&lt;5000,"MEDIUM","HIGH"))</f>
        <v>HIGH</v>
      </c>
      <c r="S598" s="2">
        <f>Table1[[#This Row],[Discount]]/100</f>
        <v>0.05</v>
      </c>
    </row>
    <row r="599" spans="1:19" x14ac:dyDescent="0.3">
      <c r="A599">
        <v>10598</v>
      </c>
      <c r="B599" s="1" t="s">
        <v>499</v>
      </c>
      <c r="C599" t="s">
        <v>111</v>
      </c>
      <c r="D599" t="s">
        <v>15</v>
      </c>
      <c r="E599" t="s">
        <v>16</v>
      </c>
      <c r="F599" t="s">
        <v>31</v>
      </c>
      <c r="G599" t="s">
        <v>38</v>
      </c>
      <c r="H599" t="s">
        <v>39</v>
      </c>
      <c r="I599">
        <v>7</v>
      </c>
      <c r="J599">
        <v>26684</v>
      </c>
      <c r="K599">
        <v>4723.26</v>
      </c>
      <c r="L599">
        <v>0</v>
      </c>
      <c r="M599" t="s">
        <v>28</v>
      </c>
      <c r="N599" t="str">
        <f>TEXT(Table1[[#This Row],[Order Date]],"MMMM")</f>
        <v>February</v>
      </c>
      <c r="O599">
        <f>YEAR(Table1[[#This Row],[Order Date]])</f>
        <v>2025</v>
      </c>
      <c r="P599" t="str">
        <f>"Q"&amp;ROUNDUP(MONTH(Table1[[#This Row],[Order Date]])/3,0)</f>
        <v>Q1</v>
      </c>
      <c r="Q599" s="3">
        <f>Table1[[#This Row],[Profit]]/Table1[[#This Row],[Sales]]</f>
        <v>0.17700719532304005</v>
      </c>
      <c r="R599" t="str">
        <f>IF(Table1[[#This Row],[Sales]]&lt;1000,"LOW",IF(Table1[[#This Row],[Sales]]&lt;5000,"MEDIUM","HIGH"))</f>
        <v>HIGH</v>
      </c>
      <c r="S599" s="2">
        <f>Table1[[#This Row],[Discount]]/100</f>
        <v>0</v>
      </c>
    </row>
    <row r="600" spans="1:19" x14ac:dyDescent="0.3">
      <c r="A600">
        <v>10599</v>
      </c>
      <c r="B600" s="1" t="s">
        <v>97</v>
      </c>
      <c r="C600" t="s">
        <v>300</v>
      </c>
      <c r="D600" t="s">
        <v>60</v>
      </c>
      <c r="E600" t="s">
        <v>61</v>
      </c>
      <c r="F600" t="s">
        <v>17</v>
      </c>
      <c r="G600" t="s">
        <v>75</v>
      </c>
      <c r="H600" t="s">
        <v>76</v>
      </c>
      <c r="I600">
        <v>5</v>
      </c>
      <c r="J600">
        <v>8953.75</v>
      </c>
      <c r="K600">
        <v>1725.45</v>
      </c>
      <c r="L600">
        <v>5</v>
      </c>
      <c r="M600" t="s">
        <v>49</v>
      </c>
      <c r="N600" t="str">
        <f>TEXT(Table1[[#This Row],[Order Date]],"MMMM")</f>
        <v>May</v>
      </c>
      <c r="O600">
        <f>YEAR(Table1[[#This Row],[Order Date]])</f>
        <v>2025</v>
      </c>
      <c r="P600" t="str">
        <f>"Q"&amp;ROUNDUP(MONTH(Table1[[#This Row],[Order Date]])/3,0)</f>
        <v>Q2</v>
      </c>
      <c r="Q600" s="3">
        <f>Table1[[#This Row],[Profit]]/Table1[[#This Row],[Sales]]</f>
        <v>0.19270696635487924</v>
      </c>
      <c r="R600" t="str">
        <f>IF(Table1[[#This Row],[Sales]]&lt;1000,"LOW",IF(Table1[[#This Row],[Sales]]&lt;5000,"MEDIUM","HIGH"))</f>
        <v>HIGH</v>
      </c>
      <c r="S600" s="2">
        <f>Table1[[#This Row],[Discount]]/100</f>
        <v>0.05</v>
      </c>
    </row>
    <row r="601" spans="1:19" x14ac:dyDescent="0.3">
      <c r="A601">
        <v>10600</v>
      </c>
      <c r="B601" s="1" t="s">
        <v>145</v>
      </c>
      <c r="C601" t="s">
        <v>297</v>
      </c>
      <c r="D601" t="s">
        <v>23</v>
      </c>
      <c r="E601" t="s">
        <v>24</v>
      </c>
      <c r="F601" t="s">
        <v>17</v>
      </c>
      <c r="G601" t="s">
        <v>75</v>
      </c>
      <c r="H601" t="s">
        <v>76</v>
      </c>
      <c r="I601">
        <v>3</v>
      </c>
      <c r="J601">
        <v>2100.6</v>
      </c>
      <c r="K601">
        <v>570.80999999999995</v>
      </c>
      <c r="L601">
        <v>10</v>
      </c>
      <c r="M601" t="s">
        <v>40</v>
      </c>
      <c r="N601" t="str">
        <f>TEXT(Table1[[#This Row],[Order Date]],"MMMM")</f>
        <v>July</v>
      </c>
      <c r="O601">
        <f>YEAR(Table1[[#This Row],[Order Date]])</f>
        <v>2025</v>
      </c>
      <c r="P601" t="str">
        <f>"Q"&amp;ROUNDUP(MONTH(Table1[[#This Row],[Order Date]])/3,0)</f>
        <v>Q3</v>
      </c>
      <c r="Q601" s="3">
        <f>Table1[[#This Row],[Profit]]/Table1[[#This Row],[Sales]]</f>
        <v>0.27173664667237929</v>
      </c>
      <c r="R601" t="str">
        <f>IF(Table1[[#This Row],[Sales]]&lt;1000,"LOW",IF(Table1[[#This Row],[Sales]]&lt;5000,"MEDIUM","HIGH"))</f>
        <v>MEDIUM</v>
      </c>
      <c r="S601" s="2">
        <f>Table1[[#This Row],[Discount]]/100</f>
        <v>0.1</v>
      </c>
    </row>
    <row r="602" spans="1:19" x14ac:dyDescent="0.3">
      <c r="A602">
        <v>10601</v>
      </c>
      <c r="B602" s="1" t="s">
        <v>383</v>
      </c>
      <c r="C602" t="s">
        <v>35</v>
      </c>
      <c r="D602" t="s">
        <v>56</v>
      </c>
      <c r="E602" t="s">
        <v>57</v>
      </c>
      <c r="F602" t="s">
        <v>31</v>
      </c>
      <c r="G602" t="s">
        <v>32</v>
      </c>
      <c r="H602" t="s">
        <v>33</v>
      </c>
      <c r="I602">
        <v>4</v>
      </c>
      <c r="J602">
        <v>3204</v>
      </c>
      <c r="K602">
        <v>887.58</v>
      </c>
      <c r="L602">
        <v>10</v>
      </c>
      <c r="M602" t="s">
        <v>45</v>
      </c>
      <c r="N602" t="str">
        <f>TEXT(Table1[[#This Row],[Order Date]],"MMMM")</f>
        <v>February</v>
      </c>
      <c r="O602">
        <f>YEAR(Table1[[#This Row],[Order Date]])</f>
        <v>2025</v>
      </c>
      <c r="P602" t="str">
        <f>"Q"&amp;ROUNDUP(MONTH(Table1[[#This Row],[Order Date]])/3,0)</f>
        <v>Q1</v>
      </c>
      <c r="Q602" s="3">
        <f>Table1[[#This Row],[Profit]]/Table1[[#This Row],[Sales]]</f>
        <v>0.27702247191011237</v>
      </c>
      <c r="R602" t="str">
        <f>IF(Table1[[#This Row],[Sales]]&lt;1000,"LOW",IF(Table1[[#This Row],[Sales]]&lt;5000,"MEDIUM","HIGH"))</f>
        <v>MEDIUM</v>
      </c>
      <c r="S602" s="2">
        <f>Table1[[#This Row],[Discount]]/100</f>
        <v>0.1</v>
      </c>
    </row>
    <row r="603" spans="1:19" x14ac:dyDescent="0.3">
      <c r="A603">
        <v>10602</v>
      </c>
      <c r="B603" s="1" t="s">
        <v>319</v>
      </c>
      <c r="C603" t="s">
        <v>191</v>
      </c>
      <c r="D603" t="s">
        <v>52</v>
      </c>
      <c r="E603" t="s">
        <v>53</v>
      </c>
      <c r="F603" t="s">
        <v>31</v>
      </c>
      <c r="G603" t="s">
        <v>32</v>
      </c>
      <c r="H603" t="s">
        <v>33</v>
      </c>
      <c r="I603">
        <v>7</v>
      </c>
      <c r="J603">
        <v>18487</v>
      </c>
      <c r="K603">
        <v>3471.21</v>
      </c>
      <c r="L603">
        <v>0</v>
      </c>
      <c r="M603" t="s">
        <v>40</v>
      </c>
      <c r="N603" t="str">
        <f>TEXT(Table1[[#This Row],[Order Date]],"MMMM")</f>
        <v>July</v>
      </c>
      <c r="O603">
        <f>YEAR(Table1[[#This Row],[Order Date]])</f>
        <v>2025</v>
      </c>
      <c r="P603" t="str">
        <f>"Q"&amp;ROUNDUP(MONTH(Table1[[#This Row],[Order Date]])/3,0)</f>
        <v>Q3</v>
      </c>
      <c r="Q603" s="3">
        <f>Table1[[#This Row],[Profit]]/Table1[[#This Row],[Sales]]</f>
        <v>0.18776491588683941</v>
      </c>
      <c r="R603" t="str">
        <f>IF(Table1[[#This Row],[Sales]]&lt;1000,"LOW",IF(Table1[[#This Row],[Sales]]&lt;5000,"MEDIUM","HIGH"))</f>
        <v>HIGH</v>
      </c>
      <c r="S603" s="2">
        <f>Table1[[#This Row],[Discount]]/100</f>
        <v>0</v>
      </c>
    </row>
    <row r="604" spans="1:19" x14ac:dyDescent="0.3">
      <c r="A604">
        <v>10603</v>
      </c>
      <c r="B604" s="1" t="s">
        <v>459</v>
      </c>
      <c r="C604" t="s">
        <v>98</v>
      </c>
      <c r="D604" t="s">
        <v>52</v>
      </c>
      <c r="E604" t="s">
        <v>53</v>
      </c>
      <c r="F604" t="s">
        <v>31</v>
      </c>
      <c r="G604" t="s">
        <v>124</v>
      </c>
      <c r="H604" t="s">
        <v>125</v>
      </c>
      <c r="I604">
        <v>2</v>
      </c>
      <c r="J604">
        <v>589</v>
      </c>
      <c r="K604">
        <v>161.59</v>
      </c>
      <c r="L604">
        <v>5</v>
      </c>
      <c r="M604" t="s">
        <v>49</v>
      </c>
      <c r="N604" t="str">
        <f>TEXT(Table1[[#This Row],[Order Date]],"MMMM")</f>
        <v>February</v>
      </c>
      <c r="O604">
        <f>YEAR(Table1[[#This Row],[Order Date]])</f>
        <v>2025</v>
      </c>
      <c r="P604" t="str">
        <f>"Q"&amp;ROUNDUP(MONTH(Table1[[#This Row],[Order Date]])/3,0)</f>
        <v>Q1</v>
      </c>
      <c r="Q604" s="3">
        <f>Table1[[#This Row],[Profit]]/Table1[[#This Row],[Sales]]</f>
        <v>0.27434634974533106</v>
      </c>
      <c r="R604" t="str">
        <f>IF(Table1[[#This Row],[Sales]]&lt;1000,"LOW",IF(Table1[[#This Row],[Sales]]&lt;5000,"MEDIUM","HIGH"))</f>
        <v>LOW</v>
      </c>
      <c r="S604" s="2">
        <f>Table1[[#This Row],[Discount]]/100</f>
        <v>0.05</v>
      </c>
    </row>
    <row r="605" spans="1:19" x14ac:dyDescent="0.3">
      <c r="A605">
        <v>10604</v>
      </c>
      <c r="B605" s="1" t="s">
        <v>532</v>
      </c>
      <c r="C605" t="s">
        <v>374</v>
      </c>
      <c r="D605" t="s">
        <v>66</v>
      </c>
      <c r="E605" t="s">
        <v>16</v>
      </c>
      <c r="F605" t="s">
        <v>25</v>
      </c>
      <c r="G605" t="s">
        <v>26</v>
      </c>
      <c r="H605" t="s">
        <v>71</v>
      </c>
      <c r="I605">
        <v>8</v>
      </c>
      <c r="J605">
        <v>39664</v>
      </c>
      <c r="K605">
        <v>10602</v>
      </c>
      <c r="L605">
        <v>0</v>
      </c>
      <c r="M605" t="s">
        <v>28</v>
      </c>
      <c r="N605" t="str">
        <f>TEXT(Table1[[#This Row],[Order Date]],"MMMM")</f>
        <v>June</v>
      </c>
      <c r="O605">
        <f>YEAR(Table1[[#This Row],[Order Date]])</f>
        <v>2025</v>
      </c>
      <c r="P605" t="str">
        <f>"Q"&amp;ROUNDUP(MONTH(Table1[[#This Row],[Order Date]])/3,0)</f>
        <v>Q2</v>
      </c>
      <c r="Q605" s="3">
        <f>Table1[[#This Row],[Profit]]/Table1[[#This Row],[Sales]]</f>
        <v>0.26729528035498185</v>
      </c>
      <c r="R605" t="str">
        <f>IF(Table1[[#This Row],[Sales]]&lt;1000,"LOW",IF(Table1[[#This Row],[Sales]]&lt;5000,"MEDIUM","HIGH"))</f>
        <v>HIGH</v>
      </c>
      <c r="S605" s="2">
        <f>Table1[[#This Row],[Discount]]/100</f>
        <v>0</v>
      </c>
    </row>
    <row r="606" spans="1:19" x14ac:dyDescent="0.3">
      <c r="A606">
        <v>10605</v>
      </c>
      <c r="B606" s="1" t="s">
        <v>176</v>
      </c>
      <c r="C606" t="s">
        <v>337</v>
      </c>
      <c r="D606" t="s">
        <v>66</v>
      </c>
      <c r="E606" t="s">
        <v>16</v>
      </c>
      <c r="F606" t="s">
        <v>17</v>
      </c>
      <c r="G606" t="s">
        <v>75</v>
      </c>
      <c r="H606" t="s">
        <v>76</v>
      </c>
      <c r="I606">
        <v>2</v>
      </c>
      <c r="J606">
        <v>5445.1</v>
      </c>
      <c r="K606">
        <v>1095.0899999999999</v>
      </c>
      <c r="L606">
        <v>15</v>
      </c>
      <c r="M606" t="s">
        <v>40</v>
      </c>
      <c r="N606" t="str">
        <f>TEXT(Table1[[#This Row],[Order Date]],"MMMM")</f>
        <v>December</v>
      </c>
      <c r="O606">
        <f>YEAR(Table1[[#This Row],[Order Date]])</f>
        <v>2025</v>
      </c>
      <c r="P606" t="str">
        <f>"Q"&amp;ROUNDUP(MONTH(Table1[[#This Row],[Order Date]])/3,0)</f>
        <v>Q4</v>
      </c>
      <c r="Q606" s="3">
        <f>Table1[[#This Row],[Profit]]/Table1[[#This Row],[Sales]]</f>
        <v>0.20111476373253015</v>
      </c>
      <c r="R606" t="str">
        <f>IF(Table1[[#This Row],[Sales]]&lt;1000,"LOW",IF(Table1[[#This Row],[Sales]]&lt;5000,"MEDIUM","HIGH"))</f>
        <v>HIGH</v>
      </c>
      <c r="S606" s="2">
        <f>Table1[[#This Row],[Discount]]/100</f>
        <v>0.15</v>
      </c>
    </row>
    <row r="607" spans="1:19" x14ac:dyDescent="0.3">
      <c r="A607">
        <v>10606</v>
      </c>
      <c r="B607" s="1" t="s">
        <v>339</v>
      </c>
      <c r="C607" t="s">
        <v>216</v>
      </c>
      <c r="D607" t="s">
        <v>52</v>
      </c>
      <c r="E607" t="s">
        <v>53</v>
      </c>
      <c r="F607" t="s">
        <v>31</v>
      </c>
      <c r="G607" t="s">
        <v>32</v>
      </c>
      <c r="H607" t="s">
        <v>33</v>
      </c>
      <c r="I607">
        <v>1</v>
      </c>
      <c r="J607">
        <v>237.5</v>
      </c>
      <c r="K607">
        <v>53.02</v>
      </c>
      <c r="L607">
        <v>5</v>
      </c>
      <c r="M607" t="s">
        <v>40</v>
      </c>
      <c r="N607" t="str">
        <f>TEXT(Table1[[#This Row],[Order Date]],"MMMM")</f>
        <v>July</v>
      </c>
      <c r="O607">
        <f>YEAR(Table1[[#This Row],[Order Date]])</f>
        <v>2025</v>
      </c>
      <c r="P607" t="str">
        <f>"Q"&amp;ROUNDUP(MONTH(Table1[[#This Row],[Order Date]])/3,0)</f>
        <v>Q3</v>
      </c>
      <c r="Q607" s="3">
        <f>Table1[[#This Row],[Profit]]/Table1[[#This Row],[Sales]]</f>
        <v>0.22324210526315791</v>
      </c>
      <c r="R607" t="str">
        <f>IF(Table1[[#This Row],[Sales]]&lt;1000,"LOW",IF(Table1[[#This Row],[Sales]]&lt;5000,"MEDIUM","HIGH"))</f>
        <v>LOW</v>
      </c>
      <c r="S607" s="2">
        <f>Table1[[#This Row],[Discount]]/100</f>
        <v>0.05</v>
      </c>
    </row>
    <row r="608" spans="1:19" x14ac:dyDescent="0.3">
      <c r="A608">
        <v>10607</v>
      </c>
      <c r="B608" s="1" t="s">
        <v>382</v>
      </c>
      <c r="C608" t="s">
        <v>203</v>
      </c>
      <c r="D608" t="s">
        <v>60</v>
      </c>
      <c r="E608" t="s">
        <v>61</v>
      </c>
      <c r="F608" t="s">
        <v>17</v>
      </c>
      <c r="G608" t="s">
        <v>43</v>
      </c>
      <c r="H608" t="s">
        <v>44</v>
      </c>
      <c r="I608">
        <v>1</v>
      </c>
      <c r="J608">
        <v>823.65</v>
      </c>
      <c r="K608">
        <v>163.72999999999999</v>
      </c>
      <c r="L608">
        <v>5</v>
      </c>
      <c r="M608" t="s">
        <v>28</v>
      </c>
      <c r="N608" t="str">
        <f>TEXT(Table1[[#This Row],[Order Date]],"MMMM")</f>
        <v>June</v>
      </c>
      <c r="O608">
        <f>YEAR(Table1[[#This Row],[Order Date]])</f>
        <v>2025</v>
      </c>
      <c r="P608" t="str">
        <f>"Q"&amp;ROUNDUP(MONTH(Table1[[#This Row],[Order Date]])/3,0)</f>
        <v>Q2</v>
      </c>
      <c r="Q608" s="3">
        <f>Table1[[#This Row],[Profit]]/Table1[[#This Row],[Sales]]</f>
        <v>0.19878589206580463</v>
      </c>
      <c r="R608" t="str">
        <f>IF(Table1[[#This Row],[Sales]]&lt;1000,"LOW",IF(Table1[[#This Row],[Sales]]&lt;5000,"MEDIUM","HIGH"))</f>
        <v>LOW</v>
      </c>
      <c r="S608" s="2">
        <f>Table1[[#This Row],[Discount]]/100</f>
        <v>0.05</v>
      </c>
    </row>
    <row r="609" spans="1:19" x14ac:dyDescent="0.3">
      <c r="A609">
        <v>10608</v>
      </c>
      <c r="B609" s="1" t="s">
        <v>411</v>
      </c>
      <c r="C609" t="s">
        <v>86</v>
      </c>
      <c r="D609" t="s">
        <v>52</v>
      </c>
      <c r="E609" t="s">
        <v>53</v>
      </c>
      <c r="F609" t="s">
        <v>31</v>
      </c>
      <c r="G609" t="s">
        <v>89</v>
      </c>
      <c r="H609" t="s">
        <v>90</v>
      </c>
      <c r="I609">
        <v>7</v>
      </c>
      <c r="J609">
        <v>19378.8</v>
      </c>
      <c r="K609">
        <v>3689.93</v>
      </c>
      <c r="L609">
        <v>10</v>
      </c>
      <c r="M609" t="s">
        <v>20</v>
      </c>
      <c r="N609" t="str">
        <f>TEXT(Table1[[#This Row],[Order Date]],"MMMM")</f>
        <v>June</v>
      </c>
      <c r="O609">
        <f>YEAR(Table1[[#This Row],[Order Date]])</f>
        <v>2025</v>
      </c>
      <c r="P609" t="str">
        <f>"Q"&amp;ROUNDUP(MONTH(Table1[[#This Row],[Order Date]])/3,0)</f>
        <v>Q2</v>
      </c>
      <c r="Q609" s="3">
        <f>Table1[[#This Row],[Profit]]/Table1[[#This Row],[Sales]]</f>
        <v>0.1904106549425145</v>
      </c>
      <c r="R609" t="str">
        <f>IF(Table1[[#This Row],[Sales]]&lt;1000,"LOW",IF(Table1[[#This Row],[Sales]]&lt;5000,"MEDIUM","HIGH"))</f>
        <v>HIGH</v>
      </c>
      <c r="S609" s="2">
        <f>Table1[[#This Row],[Discount]]/100</f>
        <v>0.1</v>
      </c>
    </row>
    <row r="610" spans="1:19" x14ac:dyDescent="0.3">
      <c r="A610">
        <v>10609</v>
      </c>
      <c r="B610" s="1" t="s">
        <v>505</v>
      </c>
      <c r="C610" t="s">
        <v>158</v>
      </c>
      <c r="D610" t="s">
        <v>15</v>
      </c>
      <c r="E610" t="s">
        <v>16</v>
      </c>
      <c r="F610" t="s">
        <v>31</v>
      </c>
      <c r="G610" t="s">
        <v>32</v>
      </c>
      <c r="H610" t="s">
        <v>33</v>
      </c>
      <c r="I610">
        <v>3</v>
      </c>
      <c r="J610">
        <v>11885.4</v>
      </c>
      <c r="K610">
        <v>1161.76</v>
      </c>
      <c r="L610">
        <v>10</v>
      </c>
      <c r="M610" t="s">
        <v>49</v>
      </c>
      <c r="N610" t="str">
        <f>TEXT(Table1[[#This Row],[Order Date]],"MMMM")</f>
        <v>December</v>
      </c>
      <c r="O610">
        <f>YEAR(Table1[[#This Row],[Order Date]])</f>
        <v>2025</v>
      </c>
      <c r="P610" t="str">
        <f>"Q"&amp;ROUNDUP(MONTH(Table1[[#This Row],[Order Date]])/3,0)</f>
        <v>Q4</v>
      </c>
      <c r="Q610" s="3">
        <f>Table1[[#This Row],[Profit]]/Table1[[#This Row],[Sales]]</f>
        <v>9.7746815420600069E-2</v>
      </c>
      <c r="R610" t="str">
        <f>IF(Table1[[#This Row],[Sales]]&lt;1000,"LOW",IF(Table1[[#This Row],[Sales]]&lt;5000,"MEDIUM","HIGH"))</f>
        <v>HIGH</v>
      </c>
      <c r="S610" s="2">
        <f>Table1[[#This Row],[Discount]]/100</f>
        <v>0.1</v>
      </c>
    </row>
    <row r="611" spans="1:19" x14ac:dyDescent="0.3">
      <c r="A611">
        <v>10610</v>
      </c>
      <c r="B611" s="1" t="s">
        <v>477</v>
      </c>
      <c r="C611" t="s">
        <v>193</v>
      </c>
      <c r="D611" t="s">
        <v>74</v>
      </c>
      <c r="E611" t="s">
        <v>74</v>
      </c>
      <c r="F611" t="s">
        <v>17</v>
      </c>
      <c r="G611" t="s">
        <v>43</v>
      </c>
      <c r="H611" t="s">
        <v>44</v>
      </c>
      <c r="I611">
        <v>8</v>
      </c>
      <c r="J611">
        <v>14089.6</v>
      </c>
      <c r="K611">
        <v>3532.79</v>
      </c>
      <c r="L611">
        <v>15</v>
      </c>
      <c r="M611" t="s">
        <v>49</v>
      </c>
      <c r="N611" t="str">
        <f>TEXT(Table1[[#This Row],[Order Date]],"MMMM")</f>
        <v>September</v>
      </c>
      <c r="O611">
        <f>YEAR(Table1[[#This Row],[Order Date]])</f>
        <v>2025</v>
      </c>
      <c r="P611" t="str">
        <f>"Q"&amp;ROUNDUP(MONTH(Table1[[#This Row],[Order Date]])/3,0)</f>
        <v>Q3</v>
      </c>
      <c r="Q611" s="3">
        <f>Table1[[#This Row],[Profit]]/Table1[[#This Row],[Sales]]</f>
        <v>0.25073742334771748</v>
      </c>
      <c r="R611" t="str">
        <f>IF(Table1[[#This Row],[Sales]]&lt;1000,"LOW",IF(Table1[[#This Row],[Sales]]&lt;5000,"MEDIUM","HIGH"))</f>
        <v>HIGH</v>
      </c>
      <c r="S611" s="2">
        <f>Table1[[#This Row],[Discount]]/100</f>
        <v>0.15</v>
      </c>
    </row>
    <row r="612" spans="1:19" x14ac:dyDescent="0.3">
      <c r="A612">
        <v>10611</v>
      </c>
      <c r="B612" s="1" t="s">
        <v>81</v>
      </c>
      <c r="C612" t="s">
        <v>359</v>
      </c>
      <c r="D612" t="s">
        <v>52</v>
      </c>
      <c r="E612" t="s">
        <v>53</v>
      </c>
      <c r="F612" t="s">
        <v>31</v>
      </c>
      <c r="G612" t="s">
        <v>89</v>
      </c>
      <c r="H612" t="s">
        <v>90</v>
      </c>
      <c r="I612">
        <v>5</v>
      </c>
      <c r="J612">
        <v>16350</v>
      </c>
      <c r="K612">
        <v>4108.91</v>
      </c>
      <c r="L612">
        <v>0</v>
      </c>
      <c r="M612" t="s">
        <v>45</v>
      </c>
      <c r="N612" t="str">
        <f>TEXT(Table1[[#This Row],[Order Date]],"MMMM")</f>
        <v>September</v>
      </c>
      <c r="O612">
        <f>YEAR(Table1[[#This Row],[Order Date]])</f>
        <v>2025</v>
      </c>
      <c r="P612" t="str">
        <f>"Q"&amp;ROUNDUP(MONTH(Table1[[#This Row],[Order Date]])/3,0)</f>
        <v>Q3</v>
      </c>
      <c r="Q612" s="3">
        <f>Table1[[#This Row],[Profit]]/Table1[[#This Row],[Sales]]</f>
        <v>0.25130948012232412</v>
      </c>
      <c r="R612" t="str">
        <f>IF(Table1[[#This Row],[Sales]]&lt;1000,"LOW",IF(Table1[[#This Row],[Sales]]&lt;5000,"MEDIUM","HIGH"))</f>
        <v>HIGH</v>
      </c>
      <c r="S612" s="2">
        <f>Table1[[#This Row],[Discount]]/100</f>
        <v>0</v>
      </c>
    </row>
    <row r="613" spans="1:19" x14ac:dyDescent="0.3">
      <c r="A613">
        <v>10612</v>
      </c>
      <c r="B613" s="1" t="s">
        <v>533</v>
      </c>
      <c r="C613" t="s">
        <v>300</v>
      </c>
      <c r="D613" t="s">
        <v>66</v>
      </c>
      <c r="E613" t="s">
        <v>16</v>
      </c>
      <c r="F613" t="s">
        <v>25</v>
      </c>
      <c r="G613" t="s">
        <v>26</v>
      </c>
      <c r="H613" t="s">
        <v>27</v>
      </c>
      <c r="I613">
        <v>1</v>
      </c>
      <c r="J613">
        <v>884.45</v>
      </c>
      <c r="K613">
        <v>110.63</v>
      </c>
      <c r="L613">
        <v>5</v>
      </c>
      <c r="M613" t="s">
        <v>40</v>
      </c>
      <c r="N613" t="str">
        <f>TEXT(Table1[[#This Row],[Order Date]],"MMMM")</f>
        <v>January</v>
      </c>
      <c r="O613">
        <f>YEAR(Table1[[#This Row],[Order Date]])</f>
        <v>2025</v>
      </c>
      <c r="P613" t="str">
        <f>"Q"&amp;ROUNDUP(MONTH(Table1[[#This Row],[Order Date]])/3,0)</f>
        <v>Q1</v>
      </c>
      <c r="Q613" s="3">
        <f>Table1[[#This Row],[Profit]]/Table1[[#This Row],[Sales]]</f>
        <v>0.12508338515461584</v>
      </c>
      <c r="R613" t="str">
        <f>IF(Table1[[#This Row],[Sales]]&lt;1000,"LOW",IF(Table1[[#This Row],[Sales]]&lt;5000,"MEDIUM","HIGH"))</f>
        <v>LOW</v>
      </c>
      <c r="S613" s="2">
        <f>Table1[[#This Row],[Discount]]/100</f>
        <v>0.05</v>
      </c>
    </row>
    <row r="614" spans="1:19" x14ac:dyDescent="0.3">
      <c r="A614">
        <v>10613</v>
      </c>
      <c r="B614" s="1" t="s">
        <v>436</v>
      </c>
      <c r="C614" t="s">
        <v>488</v>
      </c>
      <c r="D614" t="s">
        <v>52</v>
      </c>
      <c r="E614" t="s">
        <v>53</v>
      </c>
      <c r="F614" t="s">
        <v>25</v>
      </c>
      <c r="G614" t="s">
        <v>26</v>
      </c>
      <c r="H614" t="s">
        <v>48</v>
      </c>
      <c r="I614">
        <v>7</v>
      </c>
      <c r="J614">
        <v>21936.6</v>
      </c>
      <c r="K614">
        <v>5899.36</v>
      </c>
      <c r="L614">
        <v>10</v>
      </c>
      <c r="M614" t="s">
        <v>40</v>
      </c>
      <c r="N614" t="str">
        <f>TEXT(Table1[[#This Row],[Order Date]],"MMMM")</f>
        <v>October</v>
      </c>
      <c r="O614">
        <f>YEAR(Table1[[#This Row],[Order Date]])</f>
        <v>2025</v>
      </c>
      <c r="P614" t="str">
        <f>"Q"&amp;ROUNDUP(MONTH(Table1[[#This Row],[Order Date]])/3,0)</f>
        <v>Q4</v>
      </c>
      <c r="Q614" s="3">
        <f>Table1[[#This Row],[Profit]]/Table1[[#This Row],[Sales]]</f>
        <v>0.26892772808912957</v>
      </c>
      <c r="R614" t="str">
        <f>IF(Table1[[#This Row],[Sales]]&lt;1000,"LOW",IF(Table1[[#This Row],[Sales]]&lt;5000,"MEDIUM","HIGH"))</f>
        <v>HIGH</v>
      </c>
      <c r="S614" s="2">
        <f>Table1[[#This Row],[Discount]]/100</f>
        <v>0.1</v>
      </c>
    </row>
    <row r="615" spans="1:19" x14ac:dyDescent="0.3">
      <c r="A615">
        <v>10614</v>
      </c>
      <c r="B615" s="1" t="s">
        <v>264</v>
      </c>
      <c r="C615" t="s">
        <v>246</v>
      </c>
      <c r="D615" t="s">
        <v>23</v>
      </c>
      <c r="E615" t="s">
        <v>24</v>
      </c>
      <c r="F615" t="s">
        <v>25</v>
      </c>
      <c r="G615" t="s">
        <v>26</v>
      </c>
      <c r="H615" t="s">
        <v>71</v>
      </c>
      <c r="I615">
        <v>7</v>
      </c>
      <c r="J615">
        <v>12353.6</v>
      </c>
      <c r="K615">
        <v>1750.02</v>
      </c>
      <c r="L615">
        <v>20</v>
      </c>
      <c r="M615" t="s">
        <v>45</v>
      </c>
      <c r="N615" t="str">
        <f>TEXT(Table1[[#This Row],[Order Date]],"MMMM")</f>
        <v>March</v>
      </c>
      <c r="O615">
        <f>YEAR(Table1[[#This Row],[Order Date]])</f>
        <v>2025</v>
      </c>
      <c r="P615" t="str">
        <f>"Q"&amp;ROUNDUP(MONTH(Table1[[#This Row],[Order Date]])/3,0)</f>
        <v>Q1</v>
      </c>
      <c r="Q615" s="3">
        <f>Table1[[#This Row],[Profit]]/Table1[[#This Row],[Sales]]</f>
        <v>0.14166073047532701</v>
      </c>
      <c r="R615" t="str">
        <f>IF(Table1[[#This Row],[Sales]]&lt;1000,"LOW",IF(Table1[[#This Row],[Sales]]&lt;5000,"MEDIUM","HIGH"))</f>
        <v>HIGH</v>
      </c>
      <c r="S615" s="2">
        <f>Table1[[#This Row],[Discount]]/100</f>
        <v>0.2</v>
      </c>
    </row>
    <row r="616" spans="1:19" x14ac:dyDescent="0.3">
      <c r="A616">
        <v>10615</v>
      </c>
      <c r="B616" s="1" t="s">
        <v>501</v>
      </c>
      <c r="C616" t="s">
        <v>63</v>
      </c>
      <c r="D616" t="s">
        <v>66</v>
      </c>
      <c r="E616" t="s">
        <v>16</v>
      </c>
      <c r="F616" t="s">
        <v>31</v>
      </c>
      <c r="G616" t="s">
        <v>38</v>
      </c>
      <c r="H616" t="s">
        <v>39</v>
      </c>
      <c r="I616">
        <v>2</v>
      </c>
      <c r="J616">
        <v>1489.2</v>
      </c>
      <c r="K616">
        <v>402.24</v>
      </c>
      <c r="L616">
        <v>15</v>
      </c>
      <c r="M616" t="s">
        <v>49</v>
      </c>
      <c r="N616" t="str">
        <f>TEXT(Table1[[#This Row],[Order Date]],"MMMM")</f>
        <v>June</v>
      </c>
      <c r="O616">
        <f>YEAR(Table1[[#This Row],[Order Date]])</f>
        <v>2025</v>
      </c>
      <c r="P616" t="str">
        <f>"Q"&amp;ROUNDUP(MONTH(Table1[[#This Row],[Order Date]])/3,0)</f>
        <v>Q2</v>
      </c>
      <c r="Q616" s="3">
        <f>Table1[[#This Row],[Profit]]/Table1[[#This Row],[Sales]]</f>
        <v>0.27010475423045932</v>
      </c>
      <c r="R616" t="str">
        <f>IF(Table1[[#This Row],[Sales]]&lt;1000,"LOW",IF(Table1[[#This Row],[Sales]]&lt;5000,"MEDIUM","HIGH"))</f>
        <v>MEDIUM</v>
      </c>
      <c r="S616" s="2">
        <f>Table1[[#This Row],[Discount]]/100</f>
        <v>0.15</v>
      </c>
    </row>
    <row r="617" spans="1:19" x14ac:dyDescent="0.3">
      <c r="A617">
        <v>10616</v>
      </c>
      <c r="B617" s="1" t="s">
        <v>369</v>
      </c>
      <c r="C617" t="s">
        <v>464</v>
      </c>
      <c r="D617" t="s">
        <v>66</v>
      </c>
      <c r="E617" t="s">
        <v>16</v>
      </c>
      <c r="F617" t="s">
        <v>17</v>
      </c>
      <c r="G617" t="s">
        <v>75</v>
      </c>
      <c r="H617" t="s">
        <v>76</v>
      </c>
      <c r="I617">
        <v>4</v>
      </c>
      <c r="J617">
        <v>15195.6</v>
      </c>
      <c r="K617">
        <v>2878.38</v>
      </c>
      <c r="L617">
        <v>10</v>
      </c>
      <c r="M617" t="s">
        <v>20</v>
      </c>
      <c r="N617" t="str">
        <f>TEXT(Table1[[#This Row],[Order Date]],"MMMM")</f>
        <v>October</v>
      </c>
      <c r="O617">
        <f>YEAR(Table1[[#This Row],[Order Date]])</f>
        <v>2025</v>
      </c>
      <c r="P617" t="str">
        <f>"Q"&amp;ROUNDUP(MONTH(Table1[[#This Row],[Order Date]])/3,0)</f>
        <v>Q4</v>
      </c>
      <c r="Q617" s="3">
        <f>Table1[[#This Row],[Profit]]/Table1[[#This Row],[Sales]]</f>
        <v>0.18942193792940062</v>
      </c>
      <c r="R617" t="str">
        <f>IF(Table1[[#This Row],[Sales]]&lt;1000,"LOW",IF(Table1[[#This Row],[Sales]]&lt;5000,"MEDIUM","HIGH"))</f>
        <v>HIGH</v>
      </c>
      <c r="S617" s="2">
        <f>Table1[[#This Row],[Discount]]/100</f>
        <v>0.1</v>
      </c>
    </row>
    <row r="618" spans="1:19" x14ac:dyDescent="0.3">
      <c r="A618">
        <v>10617</v>
      </c>
      <c r="B618" s="1" t="s">
        <v>178</v>
      </c>
      <c r="C618" t="s">
        <v>269</v>
      </c>
      <c r="D618" t="s">
        <v>23</v>
      </c>
      <c r="E618" t="s">
        <v>24</v>
      </c>
      <c r="F618" t="s">
        <v>31</v>
      </c>
      <c r="G618" t="s">
        <v>89</v>
      </c>
      <c r="H618" t="s">
        <v>90</v>
      </c>
      <c r="I618">
        <v>3</v>
      </c>
      <c r="J618">
        <v>4983</v>
      </c>
      <c r="K618">
        <v>1021.78</v>
      </c>
      <c r="L618">
        <v>0</v>
      </c>
      <c r="M618" t="s">
        <v>28</v>
      </c>
      <c r="N618" t="str">
        <f>TEXT(Table1[[#This Row],[Order Date]],"MMMM")</f>
        <v>January</v>
      </c>
      <c r="O618">
        <f>YEAR(Table1[[#This Row],[Order Date]])</f>
        <v>2025</v>
      </c>
      <c r="P618" t="str">
        <f>"Q"&amp;ROUNDUP(MONTH(Table1[[#This Row],[Order Date]])/3,0)</f>
        <v>Q1</v>
      </c>
      <c r="Q618" s="3">
        <f>Table1[[#This Row],[Profit]]/Table1[[#This Row],[Sales]]</f>
        <v>0.20505318081477023</v>
      </c>
      <c r="R618" t="str">
        <f>IF(Table1[[#This Row],[Sales]]&lt;1000,"LOW",IF(Table1[[#This Row],[Sales]]&lt;5000,"MEDIUM","HIGH"))</f>
        <v>MEDIUM</v>
      </c>
      <c r="S618" s="2">
        <f>Table1[[#This Row],[Discount]]/100</f>
        <v>0</v>
      </c>
    </row>
    <row r="619" spans="1:19" x14ac:dyDescent="0.3">
      <c r="A619">
        <v>10618</v>
      </c>
      <c r="B619" s="1" t="s">
        <v>242</v>
      </c>
      <c r="C619" t="s">
        <v>479</v>
      </c>
      <c r="D619" t="s">
        <v>23</v>
      </c>
      <c r="E619" t="s">
        <v>24</v>
      </c>
      <c r="F619" t="s">
        <v>25</v>
      </c>
      <c r="G619" t="s">
        <v>26</v>
      </c>
      <c r="H619" t="s">
        <v>48</v>
      </c>
      <c r="I619">
        <v>3</v>
      </c>
      <c r="J619">
        <v>5811.15</v>
      </c>
      <c r="K619">
        <v>662.6</v>
      </c>
      <c r="L619">
        <v>5</v>
      </c>
      <c r="M619" t="s">
        <v>49</v>
      </c>
      <c r="N619" t="str">
        <f>TEXT(Table1[[#This Row],[Order Date]],"MMMM")</f>
        <v>November</v>
      </c>
      <c r="O619">
        <f>YEAR(Table1[[#This Row],[Order Date]])</f>
        <v>2025</v>
      </c>
      <c r="P619" t="str">
        <f>"Q"&amp;ROUNDUP(MONTH(Table1[[#This Row],[Order Date]])/3,0)</f>
        <v>Q4</v>
      </c>
      <c r="Q619" s="3">
        <f>Table1[[#This Row],[Profit]]/Table1[[#This Row],[Sales]]</f>
        <v>0.11402218149591735</v>
      </c>
      <c r="R619" t="str">
        <f>IF(Table1[[#This Row],[Sales]]&lt;1000,"LOW",IF(Table1[[#This Row],[Sales]]&lt;5000,"MEDIUM","HIGH"))</f>
        <v>HIGH</v>
      </c>
      <c r="S619" s="2">
        <f>Table1[[#This Row],[Discount]]/100</f>
        <v>0.05</v>
      </c>
    </row>
    <row r="620" spans="1:19" x14ac:dyDescent="0.3">
      <c r="A620">
        <v>10619</v>
      </c>
      <c r="B620" s="1" t="s">
        <v>505</v>
      </c>
      <c r="C620" t="s">
        <v>489</v>
      </c>
      <c r="D620" t="s">
        <v>36</v>
      </c>
      <c r="E620" t="s">
        <v>37</v>
      </c>
      <c r="F620" t="s">
        <v>31</v>
      </c>
      <c r="G620" t="s">
        <v>124</v>
      </c>
      <c r="H620" t="s">
        <v>125</v>
      </c>
      <c r="I620">
        <v>5</v>
      </c>
      <c r="J620">
        <v>1525</v>
      </c>
      <c r="K620">
        <v>373.21</v>
      </c>
      <c r="L620">
        <v>0</v>
      </c>
      <c r="M620" t="s">
        <v>49</v>
      </c>
      <c r="N620" t="str">
        <f>TEXT(Table1[[#This Row],[Order Date]],"MMMM")</f>
        <v>December</v>
      </c>
      <c r="O620">
        <f>YEAR(Table1[[#This Row],[Order Date]])</f>
        <v>2025</v>
      </c>
      <c r="P620" t="str">
        <f>"Q"&amp;ROUNDUP(MONTH(Table1[[#This Row],[Order Date]])/3,0)</f>
        <v>Q4</v>
      </c>
      <c r="Q620" s="3">
        <f>Table1[[#This Row],[Profit]]/Table1[[#This Row],[Sales]]</f>
        <v>0.24472786885245901</v>
      </c>
      <c r="R620" t="str">
        <f>IF(Table1[[#This Row],[Sales]]&lt;1000,"LOW",IF(Table1[[#This Row],[Sales]]&lt;5000,"MEDIUM","HIGH"))</f>
        <v>MEDIUM</v>
      </c>
      <c r="S620" s="2">
        <f>Table1[[#This Row],[Discount]]/100</f>
        <v>0</v>
      </c>
    </row>
    <row r="621" spans="1:19" x14ac:dyDescent="0.3">
      <c r="A621">
        <v>10620</v>
      </c>
      <c r="B621" s="1" t="s">
        <v>447</v>
      </c>
      <c r="C621" t="s">
        <v>445</v>
      </c>
      <c r="D621" t="s">
        <v>36</v>
      </c>
      <c r="E621" t="s">
        <v>37</v>
      </c>
      <c r="F621" t="s">
        <v>31</v>
      </c>
      <c r="G621" t="s">
        <v>124</v>
      </c>
      <c r="H621" t="s">
        <v>125</v>
      </c>
      <c r="I621">
        <v>3</v>
      </c>
      <c r="J621">
        <v>7908</v>
      </c>
      <c r="K621">
        <v>1395.88</v>
      </c>
      <c r="L621">
        <v>20</v>
      </c>
      <c r="M621" t="s">
        <v>28</v>
      </c>
      <c r="N621" t="str">
        <f>TEXT(Table1[[#This Row],[Order Date]],"MMMM")</f>
        <v>August</v>
      </c>
      <c r="O621">
        <f>YEAR(Table1[[#This Row],[Order Date]])</f>
        <v>2025</v>
      </c>
      <c r="P621" t="str">
        <f>"Q"&amp;ROUNDUP(MONTH(Table1[[#This Row],[Order Date]])/3,0)</f>
        <v>Q3</v>
      </c>
      <c r="Q621" s="3">
        <f>Table1[[#This Row],[Profit]]/Table1[[#This Row],[Sales]]</f>
        <v>0.17651492159838139</v>
      </c>
      <c r="R621" t="str">
        <f>IF(Table1[[#This Row],[Sales]]&lt;1000,"LOW",IF(Table1[[#This Row],[Sales]]&lt;5000,"MEDIUM","HIGH"))</f>
        <v>HIGH</v>
      </c>
      <c r="S621" s="2">
        <f>Table1[[#This Row],[Discount]]/100</f>
        <v>0.2</v>
      </c>
    </row>
    <row r="622" spans="1:19" x14ac:dyDescent="0.3">
      <c r="A622">
        <v>10621</v>
      </c>
      <c r="B622" s="1" t="s">
        <v>114</v>
      </c>
      <c r="C622" t="s">
        <v>139</v>
      </c>
      <c r="D622" t="s">
        <v>74</v>
      </c>
      <c r="E622" t="s">
        <v>74</v>
      </c>
      <c r="F622" t="s">
        <v>17</v>
      </c>
      <c r="G622" t="s">
        <v>18</v>
      </c>
      <c r="H622" t="s">
        <v>19</v>
      </c>
      <c r="I622">
        <v>4</v>
      </c>
      <c r="J622">
        <v>5933</v>
      </c>
      <c r="K622">
        <v>1509.41</v>
      </c>
      <c r="L622">
        <v>15</v>
      </c>
      <c r="M622" t="s">
        <v>49</v>
      </c>
      <c r="N622" t="str">
        <f>TEXT(Table1[[#This Row],[Order Date]],"MMMM")</f>
        <v>August</v>
      </c>
      <c r="O622">
        <f>YEAR(Table1[[#This Row],[Order Date]])</f>
        <v>2025</v>
      </c>
      <c r="P622" t="str">
        <f>"Q"&amp;ROUNDUP(MONTH(Table1[[#This Row],[Order Date]])/3,0)</f>
        <v>Q3</v>
      </c>
      <c r="Q622" s="3">
        <f>Table1[[#This Row],[Profit]]/Table1[[#This Row],[Sales]]</f>
        <v>0.25440923647395924</v>
      </c>
      <c r="R622" t="str">
        <f>IF(Table1[[#This Row],[Sales]]&lt;1000,"LOW",IF(Table1[[#This Row],[Sales]]&lt;5000,"MEDIUM","HIGH"))</f>
        <v>HIGH</v>
      </c>
      <c r="S622" s="2">
        <f>Table1[[#This Row],[Discount]]/100</f>
        <v>0.15</v>
      </c>
    </row>
    <row r="623" spans="1:19" x14ac:dyDescent="0.3">
      <c r="A623">
        <v>10622</v>
      </c>
      <c r="B623" s="1" t="s">
        <v>287</v>
      </c>
      <c r="C623" t="s">
        <v>500</v>
      </c>
      <c r="D623" t="s">
        <v>66</v>
      </c>
      <c r="E623" t="s">
        <v>16</v>
      </c>
      <c r="F623" t="s">
        <v>31</v>
      </c>
      <c r="G623" t="s">
        <v>38</v>
      </c>
      <c r="H623" t="s">
        <v>39</v>
      </c>
      <c r="I623">
        <v>6</v>
      </c>
      <c r="J623">
        <v>12910.5</v>
      </c>
      <c r="K623">
        <v>1096.75</v>
      </c>
      <c r="L623">
        <v>5</v>
      </c>
      <c r="M623" t="s">
        <v>45</v>
      </c>
      <c r="N623" t="str">
        <f>TEXT(Table1[[#This Row],[Order Date]],"MMMM")</f>
        <v>July</v>
      </c>
      <c r="O623">
        <f>YEAR(Table1[[#This Row],[Order Date]])</f>
        <v>2025</v>
      </c>
      <c r="P623" t="str">
        <f>"Q"&amp;ROUNDUP(MONTH(Table1[[#This Row],[Order Date]])/3,0)</f>
        <v>Q3</v>
      </c>
      <c r="Q623" s="3">
        <f>Table1[[#This Row],[Profit]]/Table1[[#This Row],[Sales]]</f>
        <v>8.4950234305410322E-2</v>
      </c>
      <c r="R623" t="str">
        <f>IF(Table1[[#This Row],[Sales]]&lt;1000,"LOW",IF(Table1[[#This Row],[Sales]]&lt;5000,"MEDIUM","HIGH"))</f>
        <v>HIGH</v>
      </c>
      <c r="S623" s="2">
        <f>Table1[[#This Row],[Discount]]/100</f>
        <v>0.05</v>
      </c>
    </row>
    <row r="624" spans="1:19" x14ac:dyDescent="0.3">
      <c r="A624">
        <v>10623</v>
      </c>
      <c r="B624" s="1" t="s">
        <v>299</v>
      </c>
      <c r="C624" t="s">
        <v>55</v>
      </c>
      <c r="D624" t="s">
        <v>15</v>
      </c>
      <c r="E624" t="s">
        <v>16</v>
      </c>
      <c r="F624" t="s">
        <v>31</v>
      </c>
      <c r="G624" t="s">
        <v>38</v>
      </c>
      <c r="H624" t="s">
        <v>39</v>
      </c>
      <c r="I624">
        <v>3</v>
      </c>
      <c r="J624">
        <v>6705.6</v>
      </c>
      <c r="K624">
        <v>1950.91</v>
      </c>
      <c r="L624">
        <v>20</v>
      </c>
      <c r="M624" t="s">
        <v>20</v>
      </c>
      <c r="N624" t="str">
        <f>TEXT(Table1[[#This Row],[Order Date]],"MMMM")</f>
        <v>February</v>
      </c>
      <c r="O624">
        <f>YEAR(Table1[[#This Row],[Order Date]])</f>
        <v>2025</v>
      </c>
      <c r="P624" t="str">
        <f>"Q"&amp;ROUNDUP(MONTH(Table1[[#This Row],[Order Date]])/3,0)</f>
        <v>Q1</v>
      </c>
      <c r="Q624" s="3">
        <f>Table1[[#This Row],[Profit]]/Table1[[#This Row],[Sales]]</f>
        <v>0.29093742543545692</v>
      </c>
      <c r="R624" t="str">
        <f>IF(Table1[[#This Row],[Sales]]&lt;1000,"LOW",IF(Table1[[#This Row],[Sales]]&lt;5000,"MEDIUM","HIGH"))</f>
        <v>HIGH</v>
      </c>
      <c r="S624" s="2">
        <f>Table1[[#This Row],[Discount]]/100</f>
        <v>0.2</v>
      </c>
    </row>
    <row r="625" spans="1:19" x14ac:dyDescent="0.3">
      <c r="A625">
        <v>10624</v>
      </c>
      <c r="B625" s="1" t="s">
        <v>264</v>
      </c>
      <c r="C625" t="s">
        <v>275</v>
      </c>
      <c r="D625" t="s">
        <v>66</v>
      </c>
      <c r="E625" t="s">
        <v>16</v>
      </c>
      <c r="F625" t="s">
        <v>31</v>
      </c>
      <c r="G625" t="s">
        <v>38</v>
      </c>
      <c r="H625" t="s">
        <v>39</v>
      </c>
      <c r="I625">
        <v>8</v>
      </c>
      <c r="J625">
        <v>32080</v>
      </c>
      <c r="K625">
        <v>3347.75</v>
      </c>
      <c r="L625">
        <v>0</v>
      </c>
      <c r="M625" t="s">
        <v>40</v>
      </c>
      <c r="N625" t="str">
        <f>TEXT(Table1[[#This Row],[Order Date]],"MMMM")</f>
        <v>March</v>
      </c>
      <c r="O625">
        <f>YEAR(Table1[[#This Row],[Order Date]])</f>
        <v>2025</v>
      </c>
      <c r="P625" t="str">
        <f>"Q"&amp;ROUNDUP(MONTH(Table1[[#This Row],[Order Date]])/3,0)</f>
        <v>Q1</v>
      </c>
      <c r="Q625" s="3">
        <f>Table1[[#This Row],[Profit]]/Table1[[#This Row],[Sales]]</f>
        <v>0.10435629675810473</v>
      </c>
      <c r="R625" t="str">
        <f>IF(Table1[[#This Row],[Sales]]&lt;1000,"LOW",IF(Table1[[#This Row],[Sales]]&lt;5000,"MEDIUM","HIGH"))</f>
        <v>HIGH</v>
      </c>
      <c r="S625" s="2">
        <f>Table1[[#This Row],[Discount]]/100</f>
        <v>0</v>
      </c>
    </row>
    <row r="626" spans="1:19" x14ac:dyDescent="0.3">
      <c r="A626">
        <v>10625</v>
      </c>
      <c r="B626" s="1" t="s">
        <v>378</v>
      </c>
      <c r="C626" t="s">
        <v>279</v>
      </c>
      <c r="D626" t="s">
        <v>36</v>
      </c>
      <c r="E626" t="s">
        <v>37</v>
      </c>
      <c r="F626" t="s">
        <v>31</v>
      </c>
      <c r="G626" t="s">
        <v>89</v>
      </c>
      <c r="H626" t="s">
        <v>90</v>
      </c>
      <c r="I626">
        <v>1</v>
      </c>
      <c r="J626">
        <v>1365.1</v>
      </c>
      <c r="K626">
        <v>341.46</v>
      </c>
      <c r="L626">
        <v>15</v>
      </c>
      <c r="M626" t="s">
        <v>40</v>
      </c>
      <c r="N626" t="str">
        <f>TEXT(Table1[[#This Row],[Order Date]],"MMMM")</f>
        <v>April</v>
      </c>
      <c r="O626">
        <f>YEAR(Table1[[#This Row],[Order Date]])</f>
        <v>2025</v>
      </c>
      <c r="P626" t="str">
        <f>"Q"&amp;ROUNDUP(MONTH(Table1[[#This Row],[Order Date]])/3,0)</f>
        <v>Q2</v>
      </c>
      <c r="Q626" s="3">
        <f>Table1[[#This Row],[Profit]]/Table1[[#This Row],[Sales]]</f>
        <v>0.25013552120723759</v>
      </c>
      <c r="R626" t="str">
        <f>IF(Table1[[#This Row],[Sales]]&lt;1000,"LOW",IF(Table1[[#This Row],[Sales]]&lt;5000,"MEDIUM","HIGH"))</f>
        <v>MEDIUM</v>
      </c>
      <c r="S626" s="2">
        <f>Table1[[#This Row],[Discount]]/100</f>
        <v>0.15</v>
      </c>
    </row>
    <row r="627" spans="1:19" x14ac:dyDescent="0.3">
      <c r="A627">
        <v>10626</v>
      </c>
      <c r="B627" s="1" t="s">
        <v>29</v>
      </c>
      <c r="C627" t="s">
        <v>440</v>
      </c>
      <c r="D627" t="s">
        <v>23</v>
      </c>
      <c r="E627" t="s">
        <v>24</v>
      </c>
      <c r="F627" t="s">
        <v>31</v>
      </c>
      <c r="G627" t="s">
        <v>32</v>
      </c>
      <c r="H627" t="s">
        <v>33</v>
      </c>
      <c r="I627">
        <v>1</v>
      </c>
      <c r="J627">
        <v>3343.05</v>
      </c>
      <c r="K627">
        <v>962.85</v>
      </c>
      <c r="L627">
        <v>5</v>
      </c>
      <c r="M627" t="s">
        <v>28</v>
      </c>
      <c r="N627" t="str">
        <f>TEXT(Table1[[#This Row],[Order Date]],"MMMM")</f>
        <v>July</v>
      </c>
      <c r="O627">
        <f>YEAR(Table1[[#This Row],[Order Date]])</f>
        <v>2025</v>
      </c>
      <c r="P627" t="str">
        <f>"Q"&amp;ROUNDUP(MONTH(Table1[[#This Row],[Order Date]])/3,0)</f>
        <v>Q3</v>
      </c>
      <c r="Q627" s="3">
        <f>Table1[[#This Row],[Profit]]/Table1[[#This Row],[Sales]]</f>
        <v>0.2880154350069547</v>
      </c>
      <c r="R627" t="str">
        <f>IF(Table1[[#This Row],[Sales]]&lt;1000,"LOW",IF(Table1[[#This Row],[Sales]]&lt;5000,"MEDIUM","HIGH"))</f>
        <v>MEDIUM</v>
      </c>
      <c r="S627" s="2">
        <f>Table1[[#This Row],[Discount]]/100</f>
        <v>0.05</v>
      </c>
    </row>
    <row r="628" spans="1:19" x14ac:dyDescent="0.3">
      <c r="A628">
        <v>10627</v>
      </c>
      <c r="B628" s="1" t="s">
        <v>331</v>
      </c>
      <c r="C628" t="s">
        <v>394</v>
      </c>
      <c r="D628" t="s">
        <v>52</v>
      </c>
      <c r="E628" t="s">
        <v>53</v>
      </c>
      <c r="F628" t="s">
        <v>25</v>
      </c>
      <c r="G628" t="s">
        <v>26</v>
      </c>
      <c r="H628" t="s">
        <v>71</v>
      </c>
      <c r="I628">
        <v>8</v>
      </c>
      <c r="J628">
        <v>19225.599999999999</v>
      </c>
      <c r="K628">
        <v>2027.1</v>
      </c>
      <c r="L628">
        <v>20</v>
      </c>
      <c r="M628" t="s">
        <v>40</v>
      </c>
      <c r="N628" t="str">
        <f>TEXT(Table1[[#This Row],[Order Date]],"MMMM")</f>
        <v>October</v>
      </c>
      <c r="O628">
        <f>YEAR(Table1[[#This Row],[Order Date]])</f>
        <v>2025</v>
      </c>
      <c r="P628" t="str">
        <f>"Q"&amp;ROUNDUP(MONTH(Table1[[#This Row],[Order Date]])/3,0)</f>
        <v>Q4</v>
      </c>
      <c r="Q628" s="3">
        <f>Table1[[#This Row],[Profit]]/Table1[[#This Row],[Sales]]</f>
        <v>0.10543754161118508</v>
      </c>
      <c r="R628" t="str">
        <f>IF(Table1[[#This Row],[Sales]]&lt;1000,"LOW",IF(Table1[[#This Row],[Sales]]&lt;5000,"MEDIUM","HIGH"))</f>
        <v>HIGH</v>
      </c>
      <c r="S628" s="2">
        <f>Table1[[#This Row],[Discount]]/100</f>
        <v>0.2</v>
      </c>
    </row>
    <row r="629" spans="1:19" x14ac:dyDescent="0.3">
      <c r="A629">
        <v>10628</v>
      </c>
      <c r="B629" s="1" t="s">
        <v>534</v>
      </c>
      <c r="C629" t="s">
        <v>341</v>
      </c>
      <c r="D629" t="s">
        <v>36</v>
      </c>
      <c r="E629" t="s">
        <v>37</v>
      </c>
      <c r="F629" t="s">
        <v>25</v>
      </c>
      <c r="G629" t="s">
        <v>26</v>
      </c>
      <c r="H629" t="s">
        <v>27</v>
      </c>
      <c r="I629">
        <v>4</v>
      </c>
      <c r="J629">
        <v>1193.2</v>
      </c>
      <c r="K629">
        <v>311.72000000000003</v>
      </c>
      <c r="L629">
        <v>5</v>
      </c>
      <c r="M629" t="s">
        <v>40</v>
      </c>
      <c r="N629" t="str">
        <f>TEXT(Table1[[#This Row],[Order Date]],"MMMM")</f>
        <v>February</v>
      </c>
      <c r="O629">
        <f>YEAR(Table1[[#This Row],[Order Date]])</f>
        <v>2025</v>
      </c>
      <c r="P629" t="str">
        <f>"Q"&amp;ROUNDUP(MONTH(Table1[[#This Row],[Order Date]])/3,0)</f>
        <v>Q1</v>
      </c>
      <c r="Q629" s="3">
        <f>Table1[[#This Row],[Profit]]/Table1[[#This Row],[Sales]]</f>
        <v>0.26124706671136438</v>
      </c>
      <c r="R629" t="str">
        <f>IF(Table1[[#This Row],[Sales]]&lt;1000,"LOW",IF(Table1[[#This Row],[Sales]]&lt;5000,"MEDIUM","HIGH"))</f>
        <v>MEDIUM</v>
      </c>
      <c r="S629" s="2">
        <f>Table1[[#This Row],[Discount]]/100</f>
        <v>0.05</v>
      </c>
    </row>
    <row r="630" spans="1:19" x14ac:dyDescent="0.3">
      <c r="A630">
        <v>10629</v>
      </c>
      <c r="B630" s="1" t="s">
        <v>194</v>
      </c>
      <c r="C630" t="s">
        <v>208</v>
      </c>
      <c r="D630" t="s">
        <v>23</v>
      </c>
      <c r="E630" t="s">
        <v>24</v>
      </c>
      <c r="F630" t="s">
        <v>31</v>
      </c>
      <c r="G630" t="s">
        <v>89</v>
      </c>
      <c r="H630" t="s">
        <v>90</v>
      </c>
      <c r="I630">
        <v>5</v>
      </c>
      <c r="J630">
        <v>3078</v>
      </c>
      <c r="K630">
        <v>882.54</v>
      </c>
      <c r="L630">
        <v>5</v>
      </c>
      <c r="M630" t="s">
        <v>20</v>
      </c>
      <c r="N630" t="str">
        <f>TEXT(Table1[[#This Row],[Order Date]],"MMMM")</f>
        <v>April</v>
      </c>
      <c r="O630">
        <f>YEAR(Table1[[#This Row],[Order Date]])</f>
        <v>2025</v>
      </c>
      <c r="P630" t="str">
        <f>"Q"&amp;ROUNDUP(MONTH(Table1[[#This Row],[Order Date]])/3,0)</f>
        <v>Q2</v>
      </c>
      <c r="Q630" s="3">
        <f>Table1[[#This Row],[Profit]]/Table1[[#This Row],[Sales]]</f>
        <v>0.28672514619883038</v>
      </c>
      <c r="R630" t="str">
        <f>IF(Table1[[#This Row],[Sales]]&lt;1000,"LOW",IF(Table1[[#This Row],[Sales]]&lt;5000,"MEDIUM","HIGH"))</f>
        <v>MEDIUM</v>
      </c>
      <c r="S630" s="2">
        <f>Table1[[#This Row],[Discount]]/100</f>
        <v>0.05</v>
      </c>
    </row>
    <row r="631" spans="1:19" x14ac:dyDescent="0.3">
      <c r="A631">
        <v>10630</v>
      </c>
      <c r="B631" s="1" t="s">
        <v>265</v>
      </c>
      <c r="C631" t="s">
        <v>407</v>
      </c>
      <c r="D631" t="s">
        <v>60</v>
      </c>
      <c r="E631" t="s">
        <v>61</v>
      </c>
      <c r="F631" t="s">
        <v>17</v>
      </c>
      <c r="G631" t="s">
        <v>75</v>
      </c>
      <c r="H631" t="s">
        <v>76</v>
      </c>
      <c r="I631">
        <v>6</v>
      </c>
      <c r="J631">
        <v>16584</v>
      </c>
      <c r="K631">
        <v>2635.03</v>
      </c>
      <c r="L631">
        <v>20</v>
      </c>
      <c r="M631" t="s">
        <v>49</v>
      </c>
      <c r="N631" t="str">
        <f>TEXT(Table1[[#This Row],[Order Date]],"MMMM")</f>
        <v>September</v>
      </c>
      <c r="O631">
        <f>YEAR(Table1[[#This Row],[Order Date]])</f>
        <v>2025</v>
      </c>
      <c r="P631" t="str">
        <f>"Q"&amp;ROUNDUP(MONTH(Table1[[#This Row],[Order Date]])/3,0)</f>
        <v>Q3</v>
      </c>
      <c r="Q631" s="3">
        <f>Table1[[#This Row],[Profit]]/Table1[[#This Row],[Sales]]</f>
        <v>0.15888989387361313</v>
      </c>
      <c r="R631" t="str">
        <f>IF(Table1[[#This Row],[Sales]]&lt;1000,"LOW",IF(Table1[[#This Row],[Sales]]&lt;5000,"MEDIUM","HIGH"))</f>
        <v>HIGH</v>
      </c>
      <c r="S631" s="2">
        <f>Table1[[#This Row],[Discount]]/100</f>
        <v>0.2</v>
      </c>
    </row>
    <row r="632" spans="1:19" x14ac:dyDescent="0.3">
      <c r="A632">
        <v>10631</v>
      </c>
      <c r="B632" s="1" t="s">
        <v>285</v>
      </c>
      <c r="C632" t="s">
        <v>412</v>
      </c>
      <c r="D632" t="s">
        <v>66</v>
      </c>
      <c r="E632" t="s">
        <v>16</v>
      </c>
      <c r="F632" t="s">
        <v>31</v>
      </c>
      <c r="G632" t="s">
        <v>32</v>
      </c>
      <c r="H632" t="s">
        <v>33</v>
      </c>
      <c r="I632">
        <v>3</v>
      </c>
      <c r="J632">
        <v>10850.25</v>
      </c>
      <c r="K632">
        <v>1569.67</v>
      </c>
      <c r="L632">
        <v>15</v>
      </c>
      <c r="M632" t="s">
        <v>49</v>
      </c>
      <c r="N632" t="str">
        <f>TEXT(Table1[[#This Row],[Order Date]],"MMMM")</f>
        <v>March</v>
      </c>
      <c r="O632">
        <f>YEAR(Table1[[#This Row],[Order Date]])</f>
        <v>2025</v>
      </c>
      <c r="P632" t="str">
        <f>"Q"&amp;ROUNDUP(MONTH(Table1[[#This Row],[Order Date]])/3,0)</f>
        <v>Q1</v>
      </c>
      <c r="Q632" s="3">
        <f>Table1[[#This Row],[Profit]]/Table1[[#This Row],[Sales]]</f>
        <v>0.14466671274855419</v>
      </c>
      <c r="R632" t="str">
        <f>IF(Table1[[#This Row],[Sales]]&lt;1000,"LOW",IF(Table1[[#This Row],[Sales]]&lt;5000,"MEDIUM","HIGH"))</f>
        <v>HIGH</v>
      </c>
      <c r="S632" s="2">
        <f>Table1[[#This Row],[Discount]]/100</f>
        <v>0.15</v>
      </c>
    </row>
    <row r="633" spans="1:19" x14ac:dyDescent="0.3">
      <c r="A633">
        <v>10632</v>
      </c>
      <c r="B633" s="1" t="s">
        <v>535</v>
      </c>
      <c r="C633" t="s">
        <v>235</v>
      </c>
      <c r="D633" t="s">
        <v>52</v>
      </c>
      <c r="E633" t="s">
        <v>53</v>
      </c>
      <c r="F633" t="s">
        <v>17</v>
      </c>
      <c r="G633" t="s">
        <v>75</v>
      </c>
      <c r="H633" t="s">
        <v>76</v>
      </c>
      <c r="I633">
        <v>4</v>
      </c>
      <c r="J633">
        <v>6870.4</v>
      </c>
      <c r="K633">
        <v>559.74</v>
      </c>
      <c r="L633">
        <v>20</v>
      </c>
      <c r="M633" t="s">
        <v>49</v>
      </c>
      <c r="N633" t="str">
        <f>TEXT(Table1[[#This Row],[Order Date]],"MMMM")</f>
        <v>July</v>
      </c>
      <c r="O633">
        <f>YEAR(Table1[[#This Row],[Order Date]])</f>
        <v>2025</v>
      </c>
      <c r="P633" t="str">
        <f>"Q"&amp;ROUNDUP(MONTH(Table1[[#This Row],[Order Date]])/3,0)</f>
        <v>Q3</v>
      </c>
      <c r="Q633" s="3">
        <f>Table1[[#This Row],[Profit]]/Table1[[#This Row],[Sales]]</f>
        <v>8.1471238938053109E-2</v>
      </c>
      <c r="R633" t="str">
        <f>IF(Table1[[#This Row],[Sales]]&lt;1000,"LOW",IF(Table1[[#This Row],[Sales]]&lt;5000,"MEDIUM","HIGH"))</f>
        <v>HIGH</v>
      </c>
      <c r="S633" s="2">
        <f>Table1[[#This Row],[Discount]]/100</f>
        <v>0.2</v>
      </c>
    </row>
    <row r="634" spans="1:19" x14ac:dyDescent="0.3">
      <c r="A634">
        <v>10633</v>
      </c>
      <c r="B634" s="1" t="s">
        <v>462</v>
      </c>
      <c r="C634" t="s">
        <v>415</v>
      </c>
      <c r="D634" t="s">
        <v>56</v>
      </c>
      <c r="E634" t="s">
        <v>57</v>
      </c>
      <c r="F634" t="s">
        <v>17</v>
      </c>
      <c r="G634" t="s">
        <v>75</v>
      </c>
      <c r="H634" t="s">
        <v>76</v>
      </c>
      <c r="I634">
        <v>6</v>
      </c>
      <c r="J634">
        <v>3465.6</v>
      </c>
      <c r="K634">
        <v>482.02</v>
      </c>
      <c r="L634">
        <v>20</v>
      </c>
      <c r="M634" t="s">
        <v>20</v>
      </c>
      <c r="N634" t="str">
        <f>TEXT(Table1[[#This Row],[Order Date]],"MMMM")</f>
        <v>May</v>
      </c>
      <c r="O634">
        <f>YEAR(Table1[[#This Row],[Order Date]])</f>
        <v>2025</v>
      </c>
      <c r="P634" t="str">
        <f>"Q"&amp;ROUNDUP(MONTH(Table1[[#This Row],[Order Date]])/3,0)</f>
        <v>Q2</v>
      </c>
      <c r="Q634" s="3">
        <f>Table1[[#This Row],[Profit]]/Table1[[#This Row],[Sales]]</f>
        <v>0.13908702677746998</v>
      </c>
      <c r="R634" t="str">
        <f>IF(Table1[[#This Row],[Sales]]&lt;1000,"LOW",IF(Table1[[#This Row],[Sales]]&lt;5000,"MEDIUM","HIGH"))</f>
        <v>MEDIUM</v>
      </c>
      <c r="S634" s="2">
        <f>Table1[[#This Row],[Discount]]/100</f>
        <v>0.2</v>
      </c>
    </row>
    <row r="635" spans="1:19" x14ac:dyDescent="0.3">
      <c r="A635">
        <v>10634</v>
      </c>
      <c r="B635" s="1" t="s">
        <v>77</v>
      </c>
      <c r="C635" t="s">
        <v>347</v>
      </c>
      <c r="D635" t="s">
        <v>52</v>
      </c>
      <c r="E635" t="s">
        <v>53</v>
      </c>
      <c r="F635" t="s">
        <v>17</v>
      </c>
      <c r="G635" t="s">
        <v>75</v>
      </c>
      <c r="H635" t="s">
        <v>76</v>
      </c>
      <c r="I635">
        <v>4</v>
      </c>
      <c r="J635">
        <v>10476.799999999999</v>
      </c>
      <c r="K635">
        <v>1924.6</v>
      </c>
      <c r="L635">
        <v>20</v>
      </c>
      <c r="M635" t="s">
        <v>20</v>
      </c>
      <c r="N635" t="str">
        <f>TEXT(Table1[[#This Row],[Order Date]],"MMMM")</f>
        <v>March</v>
      </c>
      <c r="O635">
        <f>YEAR(Table1[[#This Row],[Order Date]])</f>
        <v>2025</v>
      </c>
      <c r="P635" t="str">
        <f>"Q"&amp;ROUNDUP(MONTH(Table1[[#This Row],[Order Date]])/3,0)</f>
        <v>Q1</v>
      </c>
      <c r="Q635" s="3">
        <f>Table1[[#This Row],[Profit]]/Table1[[#This Row],[Sales]]</f>
        <v>0.18370113011606598</v>
      </c>
      <c r="R635" t="str">
        <f>IF(Table1[[#This Row],[Sales]]&lt;1000,"LOW",IF(Table1[[#This Row],[Sales]]&lt;5000,"MEDIUM","HIGH"))</f>
        <v>HIGH</v>
      </c>
      <c r="S635" s="2">
        <f>Table1[[#This Row],[Discount]]/100</f>
        <v>0.2</v>
      </c>
    </row>
    <row r="636" spans="1:19" x14ac:dyDescent="0.3">
      <c r="A636">
        <v>10635</v>
      </c>
      <c r="B636" s="1" t="s">
        <v>117</v>
      </c>
      <c r="C636" t="s">
        <v>225</v>
      </c>
      <c r="D636" t="s">
        <v>60</v>
      </c>
      <c r="E636" t="s">
        <v>61</v>
      </c>
      <c r="F636" t="s">
        <v>25</v>
      </c>
      <c r="G636" t="s">
        <v>26</v>
      </c>
      <c r="H636" t="s">
        <v>71</v>
      </c>
      <c r="I636">
        <v>8</v>
      </c>
      <c r="J636">
        <v>28328.799999999999</v>
      </c>
      <c r="K636">
        <v>6110.56</v>
      </c>
      <c r="L636">
        <v>15</v>
      </c>
      <c r="M636" t="s">
        <v>20</v>
      </c>
      <c r="N636" t="str">
        <f>TEXT(Table1[[#This Row],[Order Date]],"MMMM")</f>
        <v>February</v>
      </c>
      <c r="O636">
        <f>YEAR(Table1[[#This Row],[Order Date]])</f>
        <v>2025</v>
      </c>
      <c r="P636" t="str">
        <f>"Q"&amp;ROUNDUP(MONTH(Table1[[#This Row],[Order Date]])/3,0)</f>
        <v>Q1</v>
      </c>
      <c r="Q636" s="3">
        <f>Table1[[#This Row],[Profit]]/Table1[[#This Row],[Sales]]</f>
        <v>0.21570133574313069</v>
      </c>
      <c r="R636" t="str">
        <f>IF(Table1[[#This Row],[Sales]]&lt;1000,"LOW",IF(Table1[[#This Row],[Sales]]&lt;5000,"MEDIUM","HIGH"))</f>
        <v>HIGH</v>
      </c>
      <c r="S636" s="2">
        <f>Table1[[#This Row],[Discount]]/100</f>
        <v>0.15</v>
      </c>
    </row>
    <row r="637" spans="1:19" x14ac:dyDescent="0.3">
      <c r="A637">
        <v>10636</v>
      </c>
      <c r="B637" s="1" t="s">
        <v>142</v>
      </c>
      <c r="C637" t="s">
        <v>35</v>
      </c>
      <c r="D637" t="s">
        <v>66</v>
      </c>
      <c r="E637" t="s">
        <v>16</v>
      </c>
      <c r="F637" t="s">
        <v>17</v>
      </c>
      <c r="G637" t="s">
        <v>18</v>
      </c>
      <c r="H637" t="s">
        <v>19</v>
      </c>
      <c r="I637">
        <v>7</v>
      </c>
      <c r="J637">
        <v>17822.7</v>
      </c>
      <c r="K637">
        <v>4022.47</v>
      </c>
      <c r="L637">
        <v>10</v>
      </c>
      <c r="M637" t="s">
        <v>45</v>
      </c>
      <c r="N637" t="str">
        <f>TEXT(Table1[[#This Row],[Order Date]],"MMMM")</f>
        <v>October</v>
      </c>
      <c r="O637">
        <f>YEAR(Table1[[#This Row],[Order Date]])</f>
        <v>2025</v>
      </c>
      <c r="P637" t="str">
        <f>"Q"&amp;ROUNDUP(MONTH(Table1[[#This Row],[Order Date]])/3,0)</f>
        <v>Q4</v>
      </c>
      <c r="Q637" s="3">
        <f>Table1[[#This Row],[Profit]]/Table1[[#This Row],[Sales]]</f>
        <v>0.22569363788875982</v>
      </c>
      <c r="R637" t="str">
        <f>IF(Table1[[#This Row],[Sales]]&lt;1000,"LOW",IF(Table1[[#This Row],[Sales]]&lt;5000,"MEDIUM","HIGH"))</f>
        <v>HIGH</v>
      </c>
      <c r="S637" s="2">
        <f>Table1[[#This Row],[Discount]]/100</f>
        <v>0.1</v>
      </c>
    </row>
    <row r="638" spans="1:19" x14ac:dyDescent="0.3">
      <c r="A638">
        <v>10637</v>
      </c>
      <c r="B638" s="1" t="s">
        <v>97</v>
      </c>
      <c r="C638" t="s">
        <v>177</v>
      </c>
      <c r="D638" t="s">
        <v>74</v>
      </c>
      <c r="E638" t="s">
        <v>74</v>
      </c>
      <c r="F638" t="s">
        <v>25</v>
      </c>
      <c r="G638" t="s">
        <v>26</v>
      </c>
      <c r="H638" t="s">
        <v>27</v>
      </c>
      <c r="I638">
        <v>5</v>
      </c>
      <c r="J638">
        <v>4908</v>
      </c>
      <c r="K638">
        <v>1032.32</v>
      </c>
      <c r="L638">
        <v>20</v>
      </c>
      <c r="M638" t="s">
        <v>49</v>
      </c>
      <c r="N638" t="str">
        <f>TEXT(Table1[[#This Row],[Order Date]],"MMMM")</f>
        <v>May</v>
      </c>
      <c r="O638">
        <f>YEAR(Table1[[#This Row],[Order Date]])</f>
        <v>2025</v>
      </c>
      <c r="P638" t="str">
        <f>"Q"&amp;ROUNDUP(MONTH(Table1[[#This Row],[Order Date]])/3,0)</f>
        <v>Q2</v>
      </c>
      <c r="Q638" s="3">
        <f>Table1[[#This Row],[Profit]]/Table1[[#This Row],[Sales]]</f>
        <v>0.21033414832925834</v>
      </c>
      <c r="R638" t="str">
        <f>IF(Table1[[#This Row],[Sales]]&lt;1000,"LOW",IF(Table1[[#This Row],[Sales]]&lt;5000,"MEDIUM","HIGH"))</f>
        <v>MEDIUM</v>
      </c>
      <c r="S638" s="2">
        <f>Table1[[#This Row],[Discount]]/100</f>
        <v>0.2</v>
      </c>
    </row>
    <row r="639" spans="1:19" x14ac:dyDescent="0.3">
      <c r="A639">
        <v>10638</v>
      </c>
      <c r="B639" s="1" t="s">
        <v>134</v>
      </c>
      <c r="C639" t="s">
        <v>269</v>
      </c>
      <c r="D639" t="s">
        <v>74</v>
      </c>
      <c r="E639" t="s">
        <v>74</v>
      </c>
      <c r="F639" t="s">
        <v>25</v>
      </c>
      <c r="G639" t="s">
        <v>26</v>
      </c>
      <c r="H639" t="s">
        <v>27</v>
      </c>
      <c r="I639">
        <v>2</v>
      </c>
      <c r="J639">
        <v>785.4</v>
      </c>
      <c r="K639">
        <v>74.78</v>
      </c>
      <c r="L639">
        <v>15</v>
      </c>
      <c r="M639" t="s">
        <v>45</v>
      </c>
      <c r="N639" t="str">
        <f>TEXT(Table1[[#This Row],[Order Date]],"MMMM")</f>
        <v>July</v>
      </c>
      <c r="O639">
        <f>YEAR(Table1[[#This Row],[Order Date]])</f>
        <v>2025</v>
      </c>
      <c r="P639" t="str">
        <f>"Q"&amp;ROUNDUP(MONTH(Table1[[#This Row],[Order Date]])/3,0)</f>
        <v>Q3</v>
      </c>
      <c r="Q639" s="3">
        <f>Table1[[#This Row],[Profit]]/Table1[[#This Row],[Sales]]</f>
        <v>9.5212630506748164E-2</v>
      </c>
      <c r="R639" t="str">
        <f>IF(Table1[[#This Row],[Sales]]&lt;1000,"LOW",IF(Table1[[#This Row],[Sales]]&lt;5000,"MEDIUM","HIGH"))</f>
        <v>LOW</v>
      </c>
      <c r="S639" s="2">
        <f>Table1[[#This Row],[Discount]]/100</f>
        <v>0.15</v>
      </c>
    </row>
    <row r="640" spans="1:19" x14ac:dyDescent="0.3">
      <c r="A640">
        <v>10639</v>
      </c>
      <c r="B640" s="1" t="s">
        <v>517</v>
      </c>
      <c r="C640" t="s">
        <v>82</v>
      </c>
      <c r="D640" t="s">
        <v>60</v>
      </c>
      <c r="E640" t="s">
        <v>61</v>
      </c>
      <c r="F640" t="s">
        <v>25</v>
      </c>
      <c r="G640" t="s">
        <v>26</v>
      </c>
      <c r="H640" t="s">
        <v>27</v>
      </c>
      <c r="I640">
        <v>2</v>
      </c>
      <c r="J640">
        <v>7510.7</v>
      </c>
      <c r="K640">
        <v>1738.57</v>
      </c>
      <c r="L640">
        <v>5</v>
      </c>
      <c r="M640" t="s">
        <v>45</v>
      </c>
      <c r="N640" t="str">
        <f>TEXT(Table1[[#This Row],[Order Date]],"MMMM")</f>
        <v>March</v>
      </c>
      <c r="O640">
        <f>YEAR(Table1[[#This Row],[Order Date]])</f>
        <v>2025</v>
      </c>
      <c r="P640" t="str">
        <f>"Q"&amp;ROUNDUP(MONTH(Table1[[#This Row],[Order Date]])/3,0)</f>
        <v>Q1</v>
      </c>
      <c r="Q640" s="3">
        <f>Table1[[#This Row],[Profit]]/Table1[[#This Row],[Sales]]</f>
        <v>0.2314790898318399</v>
      </c>
      <c r="R640" t="str">
        <f>IF(Table1[[#This Row],[Sales]]&lt;1000,"LOW",IF(Table1[[#This Row],[Sales]]&lt;5000,"MEDIUM","HIGH"))</f>
        <v>HIGH</v>
      </c>
      <c r="S640" s="2">
        <f>Table1[[#This Row],[Discount]]/100</f>
        <v>0.05</v>
      </c>
    </row>
    <row r="641" spans="1:19" x14ac:dyDescent="0.3">
      <c r="A641">
        <v>10640</v>
      </c>
      <c r="B641" s="1" t="s">
        <v>452</v>
      </c>
      <c r="C641" t="s">
        <v>111</v>
      </c>
      <c r="D641" t="s">
        <v>60</v>
      </c>
      <c r="E641" t="s">
        <v>61</v>
      </c>
      <c r="F641" t="s">
        <v>25</v>
      </c>
      <c r="G641" t="s">
        <v>26</v>
      </c>
      <c r="H641" t="s">
        <v>71</v>
      </c>
      <c r="I641">
        <v>3</v>
      </c>
      <c r="J641">
        <v>4839.8999999999996</v>
      </c>
      <c r="K641">
        <v>1281.28</v>
      </c>
      <c r="L641">
        <v>15</v>
      </c>
      <c r="M641" t="s">
        <v>40</v>
      </c>
      <c r="N641" t="str">
        <f>TEXT(Table1[[#This Row],[Order Date]],"MMMM")</f>
        <v>January</v>
      </c>
      <c r="O641">
        <f>YEAR(Table1[[#This Row],[Order Date]])</f>
        <v>2025</v>
      </c>
      <c r="P641" t="str">
        <f>"Q"&amp;ROUNDUP(MONTH(Table1[[#This Row],[Order Date]])/3,0)</f>
        <v>Q1</v>
      </c>
      <c r="Q641" s="3">
        <f>Table1[[#This Row],[Profit]]/Table1[[#This Row],[Sales]]</f>
        <v>0.26473274241203332</v>
      </c>
      <c r="R641" t="str">
        <f>IF(Table1[[#This Row],[Sales]]&lt;1000,"LOW",IF(Table1[[#This Row],[Sales]]&lt;5000,"MEDIUM","HIGH"))</f>
        <v>MEDIUM</v>
      </c>
      <c r="S641" s="2">
        <f>Table1[[#This Row],[Discount]]/100</f>
        <v>0.15</v>
      </c>
    </row>
    <row r="642" spans="1:19" x14ac:dyDescent="0.3">
      <c r="A642">
        <v>10641</v>
      </c>
      <c r="B642" s="1" t="s">
        <v>427</v>
      </c>
      <c r="C642" t="s">
        <v>118</v>
      </c>
      <c r="D642" t="s">
        <v>60</v>
      </c>
      <c r="E642" t="s">
        <v>61</v>
      </c>
      <c r="F642" t="s">
        <v>17</v>
      </c>
      <c r="G642" t="s">
        <v>75</v>
      </c>
      <c r="H642" t="s">
        <v>116</v>
      </c>
      <c r="I642">
        <v>5</v>
      </c>
      <c r="J642">
        <v>8433</v>
      </c>
      <c r="K642">
        <v>1945.82</v>
      </c>
      <c r="L642">
        <v>10</v>
      </c>
      <c r="M642" t="s">
        <v>20</v>
      </c>
      <c r="N642" t="str">
        <f>TEXT(Table1[[#This Row],[Order Date]],"MMMM")</f>
        <v>December</v>
      </c>
      <c r="O642">
        <f>YEAR(Table1[[#This Row],[Order Date]])</f>
        <v>2025</v>
      </c>
      <c r="P642" t="str">
        <f>"Q"&amp;ROUNDUP(MONTH(Table1[[#This Row],[Order Date]])/3,0)</f>
        <v>Q4</v>
      </c>
      <c r="Q642" s="3">
        <f>Table1[[#This Row],[Profit]]/Table1[[#This Row],[Sales]]</f>
        <v>0.23073876437803864</v>
      </c>
      <c r="R642" t="str">
        <f>IF(Table1[[#This Row],[Sales]]&lt;1000,"LOW",IF(Table1[[#This Row],[Sales]]&lt;5000,"MEDIUM","HIGH"))</f>
        <v>HIGH</v>
      </c>
      <c r="S642" s="2">
        <f>Table1[[#This Row],[Discount]]/100</f>
        <v>0.1</v>
      </c>
    </row>
    <row r="643" spans="1:19" x14ac:dyDescent="0.3">
      <c r="A643">
        <v>10642</v>
      </c>
      <c r="B643" s="1" t="s">
        <v>131</v>
      </c>
      <c r="C643" t="s">
        <v>366</v>
      </c>
      <c r="D643" t="s">
        <v>60</v>
      </c>
      <c r="E643" t="s">
        <v>61</v>
      </c>
      <c r="F643" t="s">
        <v>31</v>
      </c>
      <c r="G643" t="s">
        <v>89</v>
      </c>
      <c r="H643" t="s">
        <v>90</v>
      </c>
      <c r="I643">
        <v>1</v>
      </c>
      <c r="J643">
        <v>1419.2</v>
      </c>
      <c r="K643">
        <v>136.29</v>
      </c>
      <c r="L643">
        <v>20</v>
      </c>
      <c r="M643" t="s">
        <v>49</v>
      </c>
      <c r="N643" t="str">
        <f>TEXT(Table1[[#This Row],[Order Date]],"MMMM")</f>
        <v>January</v>
      </c>
      <c r="O643">
        <f>YEAR(Table1[[#This Row],[Order Date]])</f>
        <v>2025</v>
      </c>
      <c r="P643" t="str">
        <f>"Q"&amp;ROUNDUP(MONTH(Table1[[#This Row],[Order Date]])/3,0)</f>
        <v>Q1</v>
      </c>
      <c r="Q643" s="3">
        <f>Table1[[#This Row],[Profit]]/Table1[[#This Row],[Sales]]</f>
        <v>9.6032976324689961E-2</v>
      </c>
      <c r="R643" t="str">
        <f>IF(Table1[[#This Row],[Sales]]&lt;1000,"LOW",IF(Table1[[#This Row],[Sales]]&lt;5000,"MEDIUM","HIGH"))</f>
        <v>MEDIUM</v>
      </c>
      <c r="S643" s="2">
        <f>Table1[[#This Row],[Discount]]/100</f>
        <v>0.2</v>
      </c>
    </row>
    <row r="644" spans="1:19" x14ac:dyDescent="0.3">
      <c r="A644">
        <v>10643</v>
      </c>
      <c r="B644" s="1" t="s">
        <v>536</v>
      </c>
      <c r="C644" t="s">
        <v>191</v>
      </c>
      <c r="D644" t="s">
        <v>52</v>
      </c>
      <c r="E644" t="s">
        <v>53</v>
      </c>
      <c r="F644" t="s">
        <v>31</v>
      </c>
      <c r="G644" t="s">
        <v>38</v>
      </c>
      <c r="H644" t="s">
        <v>39</v>
      </c>
      <c r="I644">
        <v>6</v>
      </c>
      <c r="J644">
        <v>14500.8</v>
      </c>
      <c r="K644">
        <v>3206.03</v>
      </c>
      <c r="L644">
        <v>20</v>
      </c>
      <c r="M644" t="s">
        <v>20</v>
      </c>
      <c r="N644" t="str">
        <f>TEXT(Table1[[#This Row],[Order Date]],"MMMM")</f>
        <v>September</v>
      </c>
      <c r="O644">
        <f>YEAR(Table1[[#This Row],[Order Date]])</f>
        <v>2025</v>
      </c>
      <c r="P644" t="str">
        <f>"Q"&amp;ROUNDUP(MONTH(Table1[[#This Row],[Order Date]])/3,0)</f>
        <v>Q3</v>
      </c>
      <c r="Q644" s="3">
        <f>Table1[[#This Row],[Profit]]/Table1[[#This Row],[Sales]]</f>
        <v>0.22109331898929716</v>
      </c>
      <c r="R644" t="str">
        <f>IF(Table1[[#This Row],[Sales]]&lt;1000,"LOW",IF(Table1[[#This Row],[Sales]]&lt;5000,"MEDIUM","HIGH"))</f>
        <v>HIGH</v>
      </c>
      <c r="S644" s="2">
        <f>Table1[[#This Row],[Discount]]/100</f>
        <v>0.2</v>
      </c>
    </row>
    <row r="645" spans="1:19" x14ac:dyDescent="0.3">
      <c r="A645">
        <v>10644</v>
      </c>
      <c r="B645" s="1" t="s">
        <v>128</v>
      </c>
      <c r="C645" t="s">
        <v>443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3</v>
      </c>
      <c r="J645">
        <v>6331.2</v>
      </c>
      <c r="K645">
        <v>1419.14</v>
      </c>
      <c r="L645">
        <v>20</v>
      </c>
      <c r="M645" t="s">
        <v>28</v>
      </c>
      <c r="N645" t="str">
        <f>TEXT(Table1[[#This Row],[Order Date]],"MMMM")</f>
        <v>November</v>
      </c>
      <c r="O645">
        <f>YEAR(Table1[[#This Row],[Order Date]])</f>
        <v>2025</v>
      </c>
      <c r="P645" t="str">
        <f>"Q"&amp;ROUNDUP(MONTH(Table1[[#This Row],[Order Date]])/3,0)</f>
        <v>Q4</v>
      </c>
      <c r="Q645" s="3">
        <f>Table1[[#This Row],[Profit]]/Table1[[#This Row],[Sales]]</f>
        <v>0.22415024008086937</v>
      </c>
      <c r="R645" t="str">
        <f>IF(Table1[[#This Row],[Sales]]&lt;1000,"LOW",IF(Table1[[#This Row],[Sales]]&lt;5000,"MEDIUM","HIGH"))</f>
        <v>HIGH</v>
      </c>
      <c r="S645" s="2">
        <f>Table1[[#This Row],[Discount]]/100</f>
        <v>0.2</v>
      </c>
    </row>
    <row r="646" spans="1:19" x14ac:dyDescent="0.3">
      <c r="A646">
        <v>10645</v>
      </c>
      <c r="B646" s="1" t="s">
        <v>514</v>
      </c>
      <c r="C646" t="s">
        <v>469</v>
      </c>
      <c r="D646" t="s">
        <v>23</v>
      </c>
      <c r="E646" t="s">
        <v>24</v>
      </c>
      <c r="F646" t="s">
        <v>25</v>
      </c>
      <c r="G646" t="s">
        <v>26</v>
      </c>
      <c r="H646" t="s">
        <v>71</v>
      </c>
      <c r="I646">
        <v>3</v>
      </c>
      <c r="J646">
        <v>2812.65</v>
      </c>
      <c r="K646">
        <v>524.54999999999995</v>
      </c>
      <c r="L646">
        <v>15</v>
      </c>
      <c r="M646" t="s">
        <v>28</v>
      </c>
      <c r="N646" t="str">
        <f>TEXT(Table1[[#This Row],[Order Date]],"MMMM")</f>
        <v>November</v>
      </c>
      <c r="O646">
        <f>YEAR(Table1[[#This Row],[Order Date]])</f>
        <v>2025</v>
      </c>
      <c r="P646" t="str">
        <f>"Q"&amp;ROUNDUP(MONTH(Table1[[#This Row],[Order Date]])/3,0)</f>
        <v>Q4</v>
      </c>
      <c r="Q646" s="3">
        <f>Table1[[#This Row],[Profit]]/Table1[[#This Row],[Sales]]</f>
        <v>0.18649672017492397</v>
      </c>
      <c r="R646" t="str">
        <f>IF(Table1[[#This Row],[Sales]]&lt;1000,"LOW",IF(Table1[[#This Row],[Sales]]&lt;5000,"MEDIUM","HIGH"))</f>
        <v>MEDIUM</v>
      </c>
      <c r="S646" s="2">
        <f>Table1[[#This Row],[Discount]]/100</f>
        <v>0.15</v>
      </c>
    </row>
    <row r="647" spans="1:19" x14ac:dyDescent="0.3">
      <c r="A647">
        <v>10646</v>
      </c>
      <c r="B647" s="1" t="s">
        <v>159</v>
      </c>
      <c r="C647" t="s">
        <v>216</v>
      </c>
      <c r="D647" t="s">
        <v>15</v>
      </c>
      <c r="E647" t="s">
        <v>16</v>
      </c>
      <c r="F647" t="s">
        <v>25</v>
      </c>
      <c r="G647" t="s">
        <v>95</v>
      </c>
      <c r="H647" t="s">
        <v>96</v>
      </c>
      <c r="I647">
        <v>2</v>
      </c>
      <c r="J647">
        <v>1826</v>
      </c>
      <c r="K647">
        <v>518.78</v>
      </c>
      <c r="L647">
        <v>0</v>
      </c>
      <c r="M647" t="s">
        <v>20</v>
      </c>
      <c r="N647" t="str">
        <f>TEXT(Table1[[#This Row],[Order Date]],"MMMM")</f>
        <v>May</v>
      </c>
      <c r="O647">
        <f>YEAR(Table1[[#This Row],[Order Date]])</f>
        <v>2025</v>
      </c>
      <c r="P647" t="str">
        <f>"Q"&amp;ROUNDUP(MONTH(Table1[[#This Row],[Order Date]])/3,0)</f>
        <v>Q2</v>
      </c>
      <c r="Q647" s="3">
        <f>Table1[[#This Row],[Profit]]/Table1[[#This Row],[Sales]]</f>
        <v>0.28410733844468783</v>
      </c>
      <c r="R647" t="str">
        <f>IF(Table1[[#This Row],[Sales]]&lt;1000,"LOW",IF(Table1[[#This Row],[Sales]]&lt;5000,"MEDIUM","HIGH"))</f>
        <v>MEDIUM</v>
      </c>
      <c r="S647" s="2">
        <f>Table1[[#This Row],[Discount]]/100</f>
        <v>0</v>
      </c>
    </row>
    <row r="648" spans="1:19" x14ac:dyDescent="0.3">
      <c r="A648">
        <v>10647</v>
      </c>
      <c r="B648" s="1" t="s">
        <v>537</v>
      </c>
      <c r="C648" t="s">
        <v>308</v>
      </c>
      <c r="D648" t="s">
        <v>36</v>
      </c>
      <c r="E648" t="s">
        <v>37</v>
      </c>
      <c r="F648" t="s">
        <v>25</v>
      </c>
      <c r="G648" t="s">
        <v>26</v>
      </c>
      <c r="H648" t="s">
        <v>48</v>
      </c>
      <c r="I648">
        <v>6</v>
      </c>
      <c r="J648">
        <v>25929.3</v>
      </c>
      <c r="K648">
        <v>3425.67</v>
      </c>
      <c r="L648">
        <v>5</v>
      </c>
      <c r="M648" t="s">
        <v>45</v>
      </c>
      <c r="N648" t="str">
        <f>TEXT(Table1[[#This Row],[Order Date]],"MMMM")</f>
        <v>July</v>
      </c>
      <c r="O648">
        <f>YEAR(Table1[[#This Row],[Order Date]])</f>
        <v>2025</v>
      </c>
      <c r="P648" t="str">
        <f>"Q"&amp;ROUNDUP(MONTH(Table1[[#This Row],[Order Date]])/3,0)</f>
        <v>Q3</v>
      </c>
      <c r="Q648" s="3">
        <f>Table1[[#This Row],[Profit]]/Table1[[#This Row],[Sales]]</f>
        <v>0.13211579178766877</v>
      </c>
      <c r="R648" t="str">
        <f>IF(Table1[[#This Row],[Sales]]&lt;1000,"LOW",IF(Table1[[#This Row],[Sales]]&lt;5000,"MEDIUM","HIGH"))</f>
        <v>HIGH</v>
      </c>
      <c r="S648" s="2">
        <f>Table1[[#This Row],[Discount]]/100</f>
        <v>0.05</v>
      </c>
    </row>
    <row r="649" spans="1:19" x14ac:dyDescent="0.3">
      <c r="A649">
        <v>10648</v>
      </c>
      <c r="B649" s="1" t="s">
        <v>204</v>
      </c>
      <c r="C649" t="s">
        <v>255</v>
      </c>
      <c r="D649" t="s">
        <v>36</v>
      </c>
      <c r="E649" t="s">
        <v>37</v>
      </c>
      <c r="F649" t="s">
        <v>17</v>
      </c>
      <c r="G649" t="s">
        <v>18</v>
      </c>
      <c r="H649" t="s">
        <v>19</v>
      </c>
      <c r="I649">
        <v>8</v>
      </c>
      <c r="J649">
        <v>26955.200000000001</v>
      </c>
      <c r="K649">
        <v>6423.84</v>
      </c>
      <c r="L649">
        <v>15</v>
      </c>
      <c r="M649" t="s">
        <v>28</v>
      </c>
      <c r="N649" t="str">
        <f>TEXT(Table1[[#This Row],[Order Date]],"MMMM")</f>
        <v>December</v>
      </c>
      <c r="O649">
        <f>YEAR(Table1[[#This Row],[Order Date]])</f>
        <v>2025</v>
      </c>
      <c r="P649" t="str">
        <f>"Q"&amp;ROUNDUP(MONTH(Table1[[#This Row],[Order Date]])/3,0)</f>
        <v>Q4</v>
      </c>
      <c r="Q649" s="3">
        <f>Table1[[#This Row],[Profit]]/Table1[[#This Row],[Sales]]</f>
        <v>0.23831542707900516</v>
      </c>
      <c r="R649" t="str">
        <f>IF(Table1[[#This Row],[Sales]]&lt;1000,"LOW",IF(Table1[[#This Row],[Sales]]&lt;5000,"MEDIUM","HIGH"))</f>
        <v>HIGH</v>
      </c>
      <c r="S649" s="2">
        <f>Table1[[#This Row],[Discount]]/100</f>
        <v>0.15</v>
      </c>
    </row>
    <row r="650" spans="1:19" x14ac:dyDescent="0.3">
      <c r="A650">
        <v>10649</v>
      </c>
      <c r="B650" s="1" t="s">
        <v>526</v>
      </c>
      <c r="C650" t="s">
        <v>370</v>
      </c>
      <c r="D650" t="s">
        <v>36</v>
      </c>
      <c r="E650" t="s">
        <v>37</v>
      </c>
      <c r="F650" t="s">
        <v>25</v>
      </c>
      <c r="G650" t="s">
        <v>95</v>
      </c>
      <c r="H650" t="s">
        <v>96</v>
      </c>
      <c r="I650">
        <v>4</v>
      </c>
      <c r="J650">
        <v>4627.3999999999996</v>
      </c>
      <c r="K650">
        <v>375.92</v>
      </c>
      <c r="L650">
        <v>15</v>
      </c>
      <c r="M650" t="s">
        <v>40</v>
      </c>
      <c r="N650" t="str">
        <f>TEXT(Table1[[#This Row],[Order Date]],"MMMM")</f>
        <v>February</v>
      </c>
      <c r="O650">
        <f>YEAR(Table1[[#This Row],[Order Date]])</f>
        <v>2025</v>
      </c>
      <c r="P650" t="str">
        <f>"Q"&amp;ROUNDUP(MONTH(Table1[[#This Row],[Order Date]])/3,0)</f>
        <v>Q1</v>
      </c>
      <c r="Q650" s="3">
        <f>Table1[[#This Row],[Profit]]/Table1[[#This Row],[Sales]]</f>
        <v>8.1237844145740604E-2</v>
      </c>
      <c r="R650" t="str">
        <f>IF(Table1[[#This Row],[Sales]]&lt;1000,"LOW",IF(Table1[[#This Row],[Sales]]&lt;5000,"MEDIUM","HIGH"))</f>
        <v>MEDIUM</v>
      </c>
      <c r="S650" s="2">
        <f>Table1[[#This Row],[Discount]]/100</f>
        <v>0.15</v>
      </c>
    </row>
    <row r="651" spans="1:19" x14ac:dyDescent="0.3">
      <c r="A651">
        <v>10650</v>
      </c>
      <c r="B651" s="1" t="s">
        <v>430</v>
      </c>
      <c r="C651" t="s">
        <v>201</v>
      </c>
      <c r="D651" t="s">
        <v>23</v>
      </c>
      <c r="E651" t="s">
        <v>24</v>
      </c>
      <c r="F651" t="s">
        <v>17</v>
      </c>
      <c r="G651" t="s">
        <v>75</v>
      </c>
      <c r="H651" t="s">
        <v>116</v>
      </c>
      <c r="I651">
        <v>4</v>
      </c>
      <c r="J651">
        <v>3670.8</v>
      </c>
      <c r="K651">
        <v>360.61</v>
      </c>
      <c r="L651">
        <v>5</v>
      </c>
      <c r="M651" t="s">
        <v>40</v>
      </c>
      <c r="N651" t="str">
        <f>TEXT(Table1[[#This Row],[Order Date]],"MMMM")</f>
        <v>May</v>
      </c>
      <c r="O651">
        <f>YEAR(Table1[[#This Row],[Order Date]])</f>
        <v>2025</v>
      </c>
      <c r="P651" t="str">
        <f>"Q"&amp;ROUNDUP(MONTH(Table1[[#This Row],[Order Date]])/3,0)</f>
        <v>Q2</v>
      </c>
      <c r="Q651" s="3">
        <f>Table1[[#This Row],[Profit]]/Table1[[#This Row],[Sales]]</f>
        <v>9.8237441429661107E-2</v>
      </c>
      <c r="R651" t="str">
        <f>IF(Table1[[#This Row],[Sales]]&lt;1000,"LOW",IF(Table1[[#This Row],[Sales]]&lt;5000,"MEDIUM","HIGH"))</f>
        <v>MEDIUM</v>
      </c>
      <c r="S651" s="2">
        <f>Table1[[#This Row],[Discount]]/100</f>
        <v>0.05</v>
      </c>
    </row>
    <row r="652" spans="1:19" x14ac:dyDescent="0.3">
      <c r="A652">
        <v>10651</v>
      </c>
      <c r="B652" s="1" t="s">
        <v>447</v>
      </c>
      <c r="C652" t="s">
        <v>327</v>
      </c>
      <c r="D652" t="s">
        <v>56</v>
      </c>
      <c r="E652" t="s">
        <v>57</v>
      </c>
      <c r="F652" t="s">
        <v>25</v>
      </c>
      <c r="G652" t="s">
        <v>26</v>
      </c>
      <c r="H652" t="s">
        <v>71</v>
      </c>
      <c r="I652">
        <v>7</v>
      </c>
      <c r="J652">
        <v>16587.900000000001</v>
      </c>
      <c r="K652">
        <v>2855.95</v>
      </c>
      <c r="L652">
        <v>10</v>
      </c>
      <c r="M652" t="s">
        <v>49</v>
      </c>
      <c r="N652" t="str">
        <f>TEXT(Table1[[#This Row],[Order Date]],"MMMM")</f>
        <v>August</v>
      </c>
      <c r="O652">
        <f>YEAR(Table1[[#This Row],[Order Date]])</f>
        <v>2025</v>
      </c>
      <c r="P652" t="str">
        <f>"Q"&amp;ROUNDUP(MONTH(Table1[[#This Row],[Order Date]])/3,0)</f>
        <v>Q3</v>
      </c>
      <c r="Q652" s="3">
        <f>Table1[[#This Row],[Profit]]/Table1[[#This Row],[Sales]]</f>
        <v>0.1721706786271921</v>
      </c>
      <c r="R652" t="str">
        <f>IF(Table1[[#This Row],[Sales]]&lt;1000,"LOW",IF(Table1[[#This Row],[Sales]]&lt;5000,"MEDIUM","HIGH"))</f>
        <v>HIGH</v>
      </c>
      <c r="S652" s="2">
        <f>Table1[[#This Row],[Discount]]/100</f>
        <v>0.1</v>
      </c>
    </row>
    <row r="653" spans="1:19" x14ac:dyDescent="0.3">
      <c r="A653">
        <v>10652</v>
      </c>
      <c r="B653" s="1" t="s">
        <v>538</v>
      </c>
      <c r="C653" t="s">
        <v>115</v>
      </c>
      <c r="D653" t="s">
        <v>23</v>
      </c>
      <c r="E653" t="s">
        <v>24</v>
      </c>
      <c r="F653" t="s">
        <v>31</v>
      </c>
      <c r="G653" t="s">
        <v>32</v>
      </c>
      <c r="H653" t="s">
        <v>33</v>
      </c>
      <c r="I653">
        <v>8</v>
      </c>
      <c r="J653">
        <v>30780</v>
      </c>
      <c r="K653">
        <v>7682.83</v>
      </c>
      <c r="L653">
        <v>10</v>
      </c>
      <c r="M653" t="s">
        <v>49</v>
      </c>
      <c r="N653" t="str">
        <f>TEXT(Table1[[#This Row],[Order Date]],"MMMM")</f>
        <v>October</v>
      </c>
      <c r="O653">
        <f>YEAR(Table1[[#This Row],[Order Date]])</f>
        <v>2025</v>
      </c>
      <c r="P653" t="str">
        <f>"Q"&amp;ROUNDUP(MONTH(Table1[[#This Row],[Order Date]])/3,0)</f>
        <v>Q4</v>
      </c>
      <c r="Q653" s="3">
        <f>Table1[[#This Row],[Profit]]/Table1[[#This Row],[Sales]]</f>
        <v>0.24960461338531514</v>
      </c>
      <c r="R653" t="str">
        <f>IF(Table1[[#This Row],[Sales]]&lt;1000,"LOW",IF(Table1[[#This Row],[Sales]]&lt;5000,"MEDIUM","HIGH"))</f>
        <v>HIGH</v>
      </c>
      <c r="S653" s="2">
        <f>Table1[[#This Row],[Discount]]/100</f>
        <v>0.1</v>
      </c>
    </row>
    <row r="654" spans="1:19" x14ac:dyDescent="0.3">
      <c r="A654">
        <v>10653</v>
      </c>
      <c r="B654" s="1" t="s">
        <v>332</v>
      </c>
      <c r="C654" t="s">
        <v>84</v>
      </c>
      <c r="D654" t="s">
        <v>66</v>
      </c>
      <c r="E654" t="s">
        <v>16</v>
      </c>
      <c r="F654" t="s">
        <v>17</v>
      </c>
      <c r="G654" t="s">
        <v>18</v>
      </c>
      <c r="H654" t="s">
        <v>19</v>
      </c>
      <c r="I654">
        <v>2</v>
      </c>
      <c r="J654">
        <v>5196.6000000000004</v>
      </c>
      <c r="K654">
        <v>1062.32</v>
      </c>
      <c r="L654">
        <v>10</v>
      </c>
      <c r="M654" t="s">
        <v>28</v>
      </c>
      <c r="N654" t="str">
        <f>TEXT(Table1[[#This Row],[Order Date]],"MMMM")</f>
        <v>December</v>
      </c>
      <c r="O654">
        <f>YEAR(Table1[[#This Row],[Order Date]])</f>
        <v>2025</v>
      </c>
      <c r="P654" t="str">
        <f>"Q"&amp;ROUNDUP(MONTH(Table1[[#This Row],[Order Date]])/3,0)</f>
        <v>Q4</v>
      </c>
      <c r="Q654" s="3">
        <f>Table1[[#This Row],[Profit]]/Table1[[#This Row],[Sales]]</f>
        <v>0.20442597082707922</v>
      </c>
      <c r="R654" t="str">
        <f>IF(Table1[[#This Row],[Sales]]&lt;1000,"LOW",IF(Table1[[#This Row],[Sales]]&lt;5000,"MEDIUM","HIGH"))</f>
        <v>HIGH</v>
      </c>
      <c r="S654" s="2">
        <f>Table1[[#This Row],[Discount]]/100</f>
        <v>0.1</v>
      </c>
    </row>
    <row r="655" spans="1:19" x14ac:dyDescent="0.3">
      <c r="A655">
        <v>10654</v>
      </c>
      <c r="B655" s="1" t="s">
        <v>460</v>
      </c>
      <c r="C655" t="s">
        <v>231</v>
      </c>
      <c r="D655" t="s">
        <v>23</v>
      </c>
      <c r="E655" t="s">
        <v>24</v>
      </c>
      <c r="F655" t="s">
        <v>31</v>
      </c>
      <c r="G655" t="s">
        <v>124</v>
      </c>
      <c r="H655" t="s">
        <v>125</v>
      </c>
      <c r="I655">
        <v>4</v>
      </c>
      <c r="J655">
        <v>14440</v>
      </c>
      <c r="K655">
        <v>2269.86</v>
      </c>
      <c r="L655">
        <v>0</v>
      </c>
      <c r="M655" t="s">
        <v>28</v>
      </c>
      <c r="N655" t="str">
        <f>TEXT(Table1[[#This Row],[Order Date]],"MMMM")</f>
        <v>October</v>
      </c>
      <c r="O655">
        <f>YEAR(Table1[[#This Row],[Order Date]])</f>
        <v>2025</v>
      </c>
      <c r="P655" t="str">
        <f>"Q"&amp;ROUNDUP(MONTH(Table1[[#This Row],[Order Date]])/3,0)</f>
        <v>Q4</v>
      </c>
      <c r="Q655" s="3">
        <f>Table1[[#This Row],[Profit]]/Table1[[#This Row],[Sales]]</f>
        <v>0.15719252077562329</v>
      </c>
      <c r="R655" t="str">
        <f>IF(Table1[[#This Row],[Sales]]&lt;1000,"LOW",IF(Table1[[#This Row],[Sales]]&lt;5000,"MEDIUM","HIGH"))</f>
        <v>HIGH</v>
      </c>
      <c r="S655" s="2">
        <f>Table1[[#This Row],[Discount]]/100</f>
        <v>0</v>
      </c>
    </row>
    <row r="656" spans="1:19" x14ac:dyDescent="0.3">
      <c r="A656">
        <v>10655</v>
      </c>
      <c r="B656" s="1" t="s">
        <v>340</v>
      </c>
      <c r="C656" t="s">
        <v>435</v>
      </c>
      <c r="D656" t="s">
        <v>74</v>
      </c>
      <c r="E656" t="s">
        <v>74</v>
      </c>
      <c r="F656" t="s">
        <v>17</v>
      </c>
      <c r="G656" t="s">
        <v>75</v>
      </c>
      <c r="H656" t="s">
        <v>116</v>
      </c>
      <c r="I656">
        <v>2</v>
      </c>
      <c r="J656">
        <v>3682</v>
      </c>
      <c r="K656">
        <v>1052.8499999999999</v>
      </c>
      <c r="L656">
        <v>0</v>
      </c>
      <c r="M656" t="s">
        <v>49</v>
      </c>
      <c r="N656" t="str">
        <f>TEXT(Table1[[#This Row],[Order Date]],"MMMM")</f>
        <v>November</v>
      </c>
      <c r="O656">
        <f>YEAR(Table1[[#This Row],[Order Date]])</f>
        <v>2025</v>
      </c>
      <c r="P656" t="str">
        <f>"Q"&amp;ROUNDUP(MONTH(Table1[[#This Row],[Order Date]])/3,0)</f>
        <v>Q4</v>
      </c>
      <c r="Q656" s="3">
        <f>Table1[[#This Row],[Profit]]/Table1[[#This Row],[Sales]]</f>
        <v>0.28594513851167841</v>
      </c>
      <c r="R656" t="str">
        <f>IF(Table1[[#This Row],[Sales]]&lt;1000,"LOW",IF(Table1[[#This Row],[Sales]]&lt;5000,"MEDIUM","HIGH"))</f>
        <v>MEDIUM</v>
      </c>
      <c r="S656" s="2">
        <f>Table1[[#This Row],[Discount]]/100</f>
        <v>0</v>
      </c>
    </row>
    <row r="657" spans="1:19" x14ac:dyDescent="0.3">
      <c r="A657">
        <v>10656</v>
      </c>
      <c r="B657" s="1" t="s">
        <v>449</v>
      </c>
      <c r="C657" t="s">
        <v>88</v>
      </c>
      <c r="D657" t="s">
        <v>36</v>
      </c>
      <c r="E657" t="s">
        <v>37</v>
      </c>
      <c r="F657" t="s">
        <v>31</v>
      </c>
      <c r="G657" t="s">
        <v>124</v>
      </c>
      <c r="H657" t="s">
        <v>125</v>
      </c>
      <c r="I657">
        <v>8</v>
      </c>
      <c r="J657">
        <v>22424</v>
      </c>
      <c r="K657">
        <v>2208.4499999999998</v>
      </c>
      <c r="L657">
        <v>0</v>
      </c>
      <c r="M657" t="s">
        <v>40</v>
      </c>
      <c r="N657" t="str">
        <f>TEXT(Table1[[#This Row],[Order Date]],"MMMM")</f>
        <v>January</v>
      </c>
      <c r="O657">
        <f>YEAR(Table1[[#This Row],[Order Date]])</f>
        <v>2025</v>
      </c>
      <c r="P657" t="str">
        <f>"Q"&amp;ROUNDUP(MONTH(Table1[[#This Row],[Order Date]])/3,0)</f>
        <v>Q1</v>
      </c>
      <c r="Q657" s="3">
        <f>Table1[[#This Row],[Profit]]/Table1[[#This Row],[Sales]]</f>
        <v>9.8485997145915077E-2</v>
      </c>
      <c r="R657" t="str">
        <f>IF(Table1[[#This Row],[Sales]]&lt;1000,"LOW",IF(Table1[[#This Row],[Sales]]&lt;5000,"MEDIUM","HIGH"))</f>
        <v>HIGH</v>
      </c>
      <c r="S657" s="2">
        <f>Table1[[#This Row],[Discount]]/100</f>
        <v>0</v>
      </c>
    </row>
    <row r="658" spans="1:19" x14ac:dyDescent="0.3">
      <c r="A658">
        <v>10657</v>
      </c>
      <c r="B658" s="1" t="s">
        <v>426</v>
      </c>
      <c r="C658" t="s">
        <v>191</v>
      </c>
      <c r="D658" t="s">
        <v>56</v>
      </c>
      <c r="E658" t="s">
        <v>57</v>
      </c>
      <c r="F658" t="s">
        <v>17</v>
      </c>
      <c r="G658" t="s">
        <v>43</v>
      </c>
      <c r="H658" t="s">
        <v>44</v>
      </c>
      <c r="I658">
        <v>7</v>
      </c>
      <c r="J658">
        <v>23464</v>
      </c>
      <c r="K658">
        <v>4696.0600000000004</v>
      </c>
      <c r="L658">
        <v>0</v>
      </c>
      <c r="M658" t="s">
        <v>20</v>
      </c>
      <c r="N658" t="str">
        <f>TEXT(Table1[[#This Row],[Order Date]],"MMMM")</f>
        <v>September</v>
      </c>
      <c r="O658">
        <f>YEAR(Table1[[#This Row],[Order Date]])</f>
        <v>2025</v>
      </c>
      <c r="P658" t="str">
        <f>"Q"&amp;ROUNDUP(MONTH(Table1[[#This Row],[Order Date]])/3,0)</f>
        <v>Q3</v>
      </c>
      <c r="Q658" s="3">
        <f>Table1[[#This Row],[Profit]]/Table1[[#This Row],[Sales]]</f>
        <v>0.20013893624275489</v>
      </c>
      <c r="R658" t="str">
        <f>IF(Table1[[#This Row],[Sales]]&lt;1000,"LOW",IF(Table1[[#This Row],[Sales]]&lt;5000,"MEDIUM","HIGH"))</f>
        <v>HIGH</v>
      </c>
      <c r="S658" s="2">
        <f>Table1[[#This Row],[Discount]]/100</f>
        <v>0</v>
      </c>
    </row>
    <row r="659" spans="1:19" x14ac:dyDescent="0.3">
      <c r="A659">
        <v>10658</v>
      </c>
      <c r="B659" s="1" t="s">
        <v>360</v>
      </c>
      <c r="C659" t="s">
        <v>279</v>
      </c>
      <c r="D659" t="s">
        <v>15</v>
      </c>
      <c r="E659" t="s">
        <v>16</v>
      </c>
      <c r="F659" t="s">
        <v>25</v>
      </c>
      <c r="G659" t="s">
        <v>26</v>
      </c>
      <c r="H659" t="s">
        <v>27</v>
      </c>
      <c r="I659">
        <v>5</v>
      </c>
      <c r="J659">
        <v>17420</v>
      </c>
      <c r="K659">
        <v>5219.68</v>
      </c>
      <c r="L659">
        <v>20</v>
      </c>
      <c r="M659" t="s">
        <v>40</v>
      </c>
      <c r="N659" t="str">
        <f>TEXT(Table1[[#This Row],[Order Date]],"MMMM")</f>
        <v>February</v>
      </c>
      <c r="O659">
        <f>YEAR(Table1[[#This Row],[Order Date]])</f>
        <v>2025</v>
      </c>
      <c r="P659" t="str">
        <f>"Q"&amp;ROUNDUP(MONTH(Table1[[#This Row],[Order Date]])/3,0)</f>
        <v>Q1</v>
      </c>
      <c r="Q659" s="3">
        <f>Table1[[#This Row],[Profit]]/Table1[[#This Row],[Sales]]</f>
        <v>0.29963719862227328</v>
      </c>
      <c r="R659" t="str">
        <f>IF(Table1[[#This Row],[Sales]]&lt;1000,"LOW",IF(Table1[[#This Row],[Sales]]&lt;5000,"MEDIUM","HIGH"))</f>
        <v>HIGH</v>
      </c>
      <c r="S659" s="2">
        <f>Table1[[#This Row],[Discount]]/100</f>
        <v>0.2</v>
      </c>
    </row>
    <row r="660" spans="1:19" x14ac:dyDescent="0.3">
      <c r="A660">
        <v>10659</v>
      </c>
      <c r="B660" s="1" t="s">
        <v>303</v>
      </c>
      <c r="C660" t="s">
        <v>133</v>
      </c>
      <c r="D660" t="s">
        <v>60</v>
      </c>
      <c r="E660" t="s">
        <v>61</v>
      </c>
      <c r="F660" t="s">
        <v>25</v>
      </c>
      <c r="G660" t="s">
        <v>26</v>
      </c>
      <c r="H660" t="s">
        <v>71</v>
      </c>
      <c r="I660">
        <v>6</v>
      </c>
      <c r="J660">
        <v>25131.3</v>
      </c>
      <c r="K660">
        <v>2138.4299999999998</v>
      </c>
      <c r="L660">
        <v>5</v>
      </c>
      <c r="M660" t="s">
        <v>20</v>
      </c>
      <c r="N660" t="str">
        <f>TEXT(Table1[[#This Row],[Order Date]],"MMMM")</f>
        <v>January</v>
      </c>
      <c r="O660">
        <f>YEAR(Table1[[#This Row],[Order Date]])</f>
        <v>2025</v>
      </c>
      <c r="P660" t="str">
        <f>"Q"&amp;ROUNDUP(MONTH(Table1[[#This Row],[Order Date]])/3,0)</f>
        <v>Q1</v>
      </c>
      <c r="Q660" s="3">
        <f>Table1[[#This Row],[Profit]]/Table1[[#This Row],[Sales]]</f>
        <v>8.5090305714388026E-2</v>
      </c>
      <c r="R660" t="str">
        <f>IF(Table1[[#This Row],[Sales]]&lt;1000,"LOW",IF(Table1[[#This Row],[Sales]]&lt;5000,"MEDIUM","HIGH"))</f>
        <v>HIGH</v>
      </c>
      <c r="S660" s="2">
        <f>Table1[[#This Row],[Discount]]/100</f>
        <v>0.05</v>
      </c>
    </row>
    <row r="661" spans="1:19" x14ac:dyDescent="0.3">
      <c r="A661">
        <v>10660</v>
      </c>
      <c r="B661" s="1" t="s">
        <v>72</v>
      </c>
      <c r="C661" t="s">
        <v>156</v>
      </c>
      <c r="D661" t="s">
        <v>60</v>
      </c>
      <c r="E661" t="s">
        <v>61</v>
      </c>
      <c r="F661" t="s">
        <v>25</v>
      </c>
      <c r="G661" t="s">
        <v>26</v>
      </c>
      <c r="H661" t="s">
        <v>71</v>
      </c>
      <c r="I661">
        <v>5</v>
      </c>
      <c r="J661">
        <v>24830</v>
      </c>
      <c r="K661">
        <v>6599.43</v>
      </c>
      <c r="L661">
        <v>0</v>
      </c>
      <c r="M661" t="s">
        <v>40</v>
      </c>
      <c r="N661" t="str">
        <f>TEXT(Table1[[#This Row],[Order Date]],"MMMM")</f>
        <v>March</v>
      </c>
      <c r="O661">
        <f>YEAR(Table1[[#This Row],[Order Date]])</f>
        <v>2025</v>
      </c>
      <c r="P661" t="str">
        <f>"Q"&amp;ROUNDUP(MONTH(Table1[[#This Row],[Order Date]])/3,0)</f>
        <v>Q1</v>
      </c>
      <c r="Q661" s="3">
        <f>Table1[[#This Row],[Profit]]/Table1[[#This Row],[Sales]]</f>
        <v>0.26578453483689085</v>
      </c>
      <c r="R661" t="str">
        <f>IF(Table1[[#This Row],[Sales]]&lt;1000,"LOW",IF(Table1[[#This Row],[Sales]]&lt;5000,"MEDIUM","HIGH"))</f>
        <v>HIGH</v>
      </c>
      <c r="S661" s="2">
        <f>Table1[[#This Row],[Discount]]/100</f>
        <v>0</v>
      </c>
    </row>
    <row r="662" spans="1:19" x14ac:dyDescent="0.3">
      <c r="A662">
        <v>10661</v>
      </c>
      <c r="B662" s="1" t="s">
        <v>539</v>
      </c>
      <c r="C662" t="s">
        <v>276</v>
      </c>
      <c r="D662" t="s">
        <v>36</v>
      </c>
      <c r="E662" t="s">
        <v>37</v>
      </c>
      <c r="F662" t="s">
        <v>17</v>
      </c>
      <c r="G662" t="s">
        <v>18</v>
      </c>
      <c r="H662" t="s">
        <v>19</v>
      </c>
      <c r="I662">
        <v>1</v>
      </c>
      <c r="J662">
        <v>3114.4</v>
      </c>
      <c r="K662">
        <v>610.14</v>
      </c>
      <c r="L662">
        <v>15</v>
      </c>
      <c r="M662" t="s">
        <v>45</v>
      </c>
      <c r="N662" t="str">
        <f>TEXT(Table1[[#This Row],[Order Date]],"MMMM")</f>
        <v>August</v>
      </c>
      <c r="O662">
        <f>YEAR(Table1[[#This Row],[Order Date]])</f>
        <v>2025</v>
      </c>
      <c r="P662" t="str">
        <f>"Q"&amp;ROUNDUP(MONTH(Table1[[#This Row],[Order Date]])/3,0)</f>
        <v>Q3</v>
      </c>
      <c r="Q662" s="3">
        <f>Table1[[#This Row],[Profit]]/Table1[[#This Row],[Sales]]</f>
        <v>0.19590932442846132</v>
      </c>
      <c r="R662" t="str">
        <f>IF(Table1[[#This Row],[Sales]]&lt;1000,"LOW",IF(Table1[[#This Row],[Sales]]&lt;5000,"MEDIUM","HIGH"))</f>
        <v>MEDIUM</v>
      </c>
      <c r="S662" s="2">
        <f>Table1[[#This Row],[Discount]]/100</f>
        <v>0.15</v>
      </c>
    </row>
    <row r="663" spans="1:19" x14ac:dyDescent="0.3">
      <c r="A663">
        <v>10662</v>
      </c>
      <c r="B663" s="1" t="s">
        <v>264</v>
      </c>
      <c r="C663" t="s">
        <v>193</v>
      </c>
      <c r="D663" t="s">
        <v>66</v>
      </c>
      <c r="E663" t="s">
        <v>16</v>
      </c>
      <c r="F663" t="s">
        <v>31</v>
      </c>
      <c r="G663" t="s">
        <v>32</v>
      </c>
      <c r="H663" t="s">
        <v>33</v>
      </c>
      <c r="I663">
        <v>5</v>
      </c>
      <c r="J663">
        <v>19138.5</v>
      </c>
      <c r="K663">
        <v>3110.74</v>
      </c>
      <c r="L663">
        <v>10</v>
      </c>
      <c r="M663" t="s">
        <v>20</v>
      </c>
      <c r="N663" t="str">
        <f>TEXT(Table1[[#This Row],[Order Date]],"MMMM")</f>
        <v>March</v>
      </c>
      <c r="O663">
        <f>YEAR(Table1[[#This Row],[Order Date]])</f>
        <v>2025</v>
      </c>
      <c r="P663" t="str">
        <f>"Q"&amp;ROUNDUP(MONTH(Table1[[#This Row],[Order Date]])/3,0)</f>
        <v>Q1</v>
      </c>
      <c r="Q663" s="3">
        <f>Table1[[#This Row],[Profit]]/Table1[[#This Row],[Sales]]</f>
        <v>0.16253833895028344</v>
      </c>
      <c r="R663" t="str">
        <f>IF(Table1[[#This Row],[Sales]]&lt;1000,"LOW",IF(Table1[[#This Row],[Sales]]&lt;5000,"MEDIUM","HIGH"))</f>
        <v>HIGH</v>
      </c>
      <c r="S663" s="2">
        <f>Table1[[#This Row],[Discount]]/100</f>
        <v>0.1</v>
      </c>
    </row>
    <row r="664" spans="1:19" x14ac:dyDescent="0.3">
      <c r="A664">
        <v>10663</v>
      </c>
      <c r="B664" s="1" t="s">
        <v>287</v>
      </c>
      <c r="C664" t="s">
        <v>109</v>
      </c>
      <c r="D664" t="s">
        <v>36</v>
      </c>
      <c r="E664" t="s">
        <v>37</v>
      </c>
      <c r="F664" t="s">
        <v>31</v>
      </c>
      <c r="G664" t="s">
        <v>32</v>
      </c>
      <c r="H664" t="s">
        <v>33</v>
      </c>
      <c r="I664">
        <v>6</v>
      </c>
      <c r="J664">
        <v>13642.5</v>
      </c>
      <c r="K664">
        <v>3838.58</v>
      </c>
      <c r="L664">
        <v>15</v>
      </c>
      <c r="M664" t="s">
        <v>45</v>
      </c>
      <c r="N664" t="str">
        <f>TEXT(Table1[[#This Row],[Order Date]],"MMMM")</f>
        <v>July</v>
      </c>
      <c r="O664">
        <f>YEAR(Table1[[#This Row],[Order Date]])</f>
        <v>2025</v>
      </c>
      <c r="P664" t="str">
        <f>"Q"&amp;ROUNDUP(MONTH(Table1[[#This Row],[Order Date]])/3,0)</f>
        <v>Q3</v>
      </c>
      <c r="Q664" s="3">
        <f>Table1[[#This Row],[Profit]]/Table1[[#This Row],[Sales]]</f>
        <v>0.2813692505039399</v>
      </c>
      <c r="R664" t="str">
        <f>IF(Table1[[#This Row],[Sales]]&lt;1000,"LOW",IF(Table1[[#This Row],[Sales]]&lt;5000,"MEDIUM","HIGH"))</f>
        <v>HIGH</v>
      </c>
      <c r="S664" s="2">
        <f>Table1[[#This Row],[Discount]]/100</f>
        <v>0.15</v>
      </c>
    </row>
    <row r="665" spans="1:19" x14ac:dyDescent="0.3">
      <c r="A665">
        <v>10664</v>
      </c>
      <c r="B665" s="1" t="s">
        <v>290</v>
      </c>
      <c r="C665" t="s">
        <v>481</v>
      </c>
      <c r="D665" t="s">
        <v>56</v>
      </c>
      <c r="E665" t="s">
        <v>57</v>
      </c>
      <c r="F665" t="s">
        <v>25</v>
      </c>
      <c r="G665" t="s">
        <v>26</v>
      </c>
      <c r="H665" t="s">
        <v>48</v>
      </c>
      <c r="I665">
        <v>3</v>
      </c>
      <c r="J665">
        <v>1428</v>
      </c>
      <c r="K665">
        <v>202.05</v>
      </c>
      <c r="L665">
        <v>20</v>
      </c>
      <c r="M665" t="s">
        <v>45</v>
      </c>
      <c r="N665" t="str">
        <f>TEXT(Table1[[#This Row],[Order Date]],"MMMM")</f>
        <v>June</v>
      </c>
      <c r="O665">
        <f>YEAR(Table1[[#This Row],[Order Date]])</f>
        <v>2025</v>
      </c>
      <c r="P665" t="str">
        <f>"Q"&amp;ROUNDUP(MONTH(Table1[[#This Row],[Order Date]])/3,0)</f>
        <v>Q2</v>
      </c>
      <c r="Q665" s="3">
        <f>Table1[[#This Row],[Profit]]/Table1[[#This Row],[Sales]]</f>
        <v>0.14149159663865546</v>
      </c>
      <c r="R665" t="str">
        <f>IF(Table1[[#This Row],[Sales]]&lt;1000,"LOW",IF(Table1[[#This Row],[Sales]]&lt;5000,"MEDIUM","HIGH"))</f>
        <v>MEDIUM</v>
      </c>
      <c r="S665" s="2">
        <f>Table1[[#This Row],[Discount]]/100</f>
        <v>0.2</v>
      </c>
    </row>
    <row r="666" spans="1:19" x14ac:dyDescent="0.3">
      <c r="A666">
        <v>10665</v>
      </c>
      <c r="B666" s="1" t="s">
        <v>477</v>
      </c>
      <c r="C666" t="s">
        <v>223</v>
      </c>
      <c r="D666" t="s">
        <v>56</v>
      </c>
      <c r="E666" t="s">
        <v>57</v>
      </c>
      <c r="F666" t="s">
        <v>25</v>
      </c>
      <c r="G666" t="s">
        <v>95</v>
      </c>
      <c r="H666" t="s">
        <v>96</v>
      </c>
      <c r="I666">
        <v>3</v>
      </c>
      <c r="J666">
        <v>13870.95</v>
      </c>
      <c r="K666">
        <v>3277.18</v>
      </c>
      <c r="L666">
        <v>5</v>
      </c>
      <c r="M666" t="s">
        <v>28</v>
      </c>
      <c r="N666" t="str">
        <f>TEXT(Table1[[#This Row],[Order Date]],"MMMM")</f>
        <v>September</v>
      </c>
      <c r="O666">
        <f>YEAR(Table1[[#This Row],[Order Date]])</f>
        <v>2025</v>
      </c>
      <c r="P666" t="str">
        <f>"Q"&amp;ROUNDUP(MONTH(Table1[[#This Row],[Order Date]])/3,0)</f>
        <v>Q3</v>
      </c>
      <c r="Q666" s="3">
        <f>Table1[[#This Row],[Profit]]/Table1[[#This Row],[Sales]]</f>
        <v>0.2362621161492183</v>
      </c>
      <c r="R666" t="str">
        <f>IF(Table1[[#This Row],[Sales]]&lt;1000,"LOW",IF(Table1[[#This Row],[Sales]]&lt;5000,"MEDIUM","HIGH"))</f>
        <v>HIGH</v>
      </c>
      <c r="S666" s="2">
        <f>Table1[[#This Row],[Discount]]/100</f>
        <v>0.05</v>
      </c>
    </row>
    <row r="667" spans="1:19" x14ac:dyDescent="0.3">
      <c r="A667">
        <v>10666</v>
      </c>
      <c r="B667" s="1" t="s">
        <v>196</v>
      </c>
      <c r="C667" t="s">
        <v>88</v>
      </c>
      <c r="D667" t="s">
        <v>66</v>
      </c>
      <c r="E667" t="s">
        <v>16</v>
      </c>
      <c r="F667" t="s">
        <v>31</v>
      </c>
      <c r="G667" t="s">
        <v>32</v>
      </c>
      <c r="H667" t="s">
        <v>33</v>
      </c>
      <c r="I667">
        <v>7</v>
      </c>
      <c r="J667">
        <v>24500.7</v>
      </c>
      <c r="K667">
        <v>5521.63</v>
      </c>
      <c r="L667">
        <v>10</v>
      </c>
      <c r="M667" t="s">
        <v>28</v>
      </c>
      <c r="N667" t="str">
        <f>TEXT(Table1[[#This Row],[Order Date]],"MMMM")</f>
        <v>July</v>
      </c>
      <c r="O667">
        <f>YEAR(Table1[[#This Row],[Order Date]])</f>
        <v>2025</v>
      </c>
      <c r="P667" t="str">
        <f>"Q"&amp;ROUNDUP(MONTH(Table1[[#This Row],[Order Date]])/3,0)</f>
        <v>Q3</v>
      </c>
      <c r="Q667" s="3">
        <f>Table1[[#This Row],[Profit]]/Table1[[#This Row],[Sales]]</f>
        <v>0.225366214026538</v>
      </c>
      <c r="R667" t="str">
        <f>IF(Table1[[#This Row],[Sales]]&lt;1000,"LOW",IF(Table1[[#This Row],[Sales]]&lt;5000,"MEDIUM","HIGH"))</f>
        <v>HIGH</v>
      </c>
      <c r="S667" s="2">
        <f>Table1[[#This Row],[Discount]]/100</f>
        <v>0.1</v>
      </c>
    </row>
    <row r="668" spans="1:19" x14ac:dyDescent="0.3">
      <c r="A668">
        <v>10667</v>
      </c>
      <c r="B668" s="1" t="s">
        <v>213</v>
      </c>
      <c r="C668" t="s">
        <v>364</v>
      </c>
      <c r="D668" t="s">
        <v>74</v>
      </c>
      <c r="E668" t="s">
        <v>74</v>
      </c>
      <c r="F668" t="s">
        <v>31</v>
      </c>
      <c r="G668" t="s">
        <v>38</v>
      </c>
      <c r="H668" t="s">
        <v>39</v>
      </c>
      <c r="I668">
        <v>4</v>
      </c>
      <c r="J668">
        <v>9406.7999999999993</v>
      </c>
      <c r="K668">
        <v>1735.15</v>
      </c>
      <c r="L668">
        <v>10</v>
      </c>
      <c r="M668" t="s">
        <v>28</v>
      </c>
      <c r="N668" t="str">
        <f>TEXT(Table1[[#This Row],[Order Date]],"MMMM")</f>
        <v>February</v>
      </c>
      <c r="O668">
        <f>YEAR(Table1[[#This Row],[Order Date]])</f>
        <v>2025</v>
      </c>
      <c r="P668" t="str">
        <f>"Q"&amp;ROUNDUP(MONTH(Table1[[#This Row],[Order Date]])/3,0)</f>
        <v>Q1</v>
      </c>
      <c r="Q668" s="3">
        <f>Table1[[#This Row],[Profit]]/Table1[[#This Row],[Sales]]</f>
        <v>0.1844569885614662</v>
      </c>
      <c r="R668" t="str">
        <f>IF(Table1[[#This Row],[Sales]]&lt;1000,"LOW",IF(Table1[[#This Row],[Sales]]&lt;5000,"MEDIUM","HIGH"))</f>
        <v>HIGH</v>
      </c>
      <c r="S668" s="2">
        <f>Table1[[#This Row],[Discount]]/100</f>
        <v>0.1</v>
      </c>
    </row>
    <row r="669" spans="1:19" x14ac:dyDescent="0.3">
      <c r="A669">
        <v>10668</v>
      </c>
      <c r="B669" s="1" t="s">
        <v>540</v>
      </c>
      <c r="C669" t="s">
        <v>107</v>
      </c>
      <c r="D669" t="s">
        <v>56</v>
      </c>
      <c r="E669" t="s">
        <v>57</v>
      </c>
      <c r="F669" t="s">
        <v>17</v>
      </c>
      <c r="G669" t="s">
        <v>18</v>
      </c>
      <c r="H669" t="s">
        <v>19</v>
      </c>
      <c r="I669">
        <v>6</v>
      </c>
      <c r="J669">
        <v>3076.8</v>
      </c>
      <c r="K669">
        <v>483.3</v>
      </c>
      <c r="L669">
        <v>20</v>
      </c>
      <c r="M669" t="s">
        <v>28</v>
      </c>
      <c r="N669" t="str">
        <f>TEXT(Table1[[#This Row],[Order Date]],"MMMM")</f>
        <v>May</v>
      </c>
      <c r="O669">
        <f>YEAR(Table1[[#This Row],[Order Date]])</f>
        <v>2025</v>
      </c>
      <c r="P669" t="str">
        <f>"Q"&amp;ROUNDUP(MONTH(Table1[[#This Row],[Order Date]])/3,0)</f>
        <v>Q2</v>
      </c>
      <c r="Q669" s="3">
        <f>Table1[[#This Row],[Profit]]/Table1[[#This Row],[Sales]]</f>
        <v>0.15707878315132603</v>
      </c>
      <c r="R669" t="str">
        <f>IF(Table1[[#This Row],[Sales]]&lt;1000,"LOW",IF(Table1[[#This Row],[Sales]]&lt;5000,"MEDIUM","HIGH"))</f>
        <v>MEDIUM</v>
      </c>
      <c r="S669" s="2">
        <f>Table1[[#This Row],[Discount]]/100</f>
        <v>0.2</v>
      </c>
    </row>
    <row r="670" spans="1:19" x14ac:dyDescent="0.3">
      <c r="A670">
        <v>10669</v>
      </c>
      <c r="B670" s="1" t="s">
        <v>472</v>
      </c>
      <c r="C670" t="s">
        <v>453</v>
      </c>
      <c r="D670" t="s">
        <v>23</v>
      </c>
      <c r="E670" t="s">
        <v>24</v>
      </c>
      <c r="F670" t="s">
        <v>17</v>
      </c>
      <c r="G670" t="s">
        <v>18</v>
      </c>
      <c r="H670" t="s">
        <v>19</v>
      </c>
      <c r="I670">
        <v>4</v>
      </c>
      <c r="J670">
        <v>11552</v>
      </c>
      <c r="K670">
        <v>2522.37</v>
      </c>
      <c r="L670">
        <v>5</v>
      </c>
      <c r="M670" t="s">
        <v>28</v>
      </c>
      <c r="N670" t="str">
        <f>TEXT(Table1[[#This Row],[Order Date]],"MMMM")</f>
        <v>October</v>
      </c>
      <c r="O670">
        <f>YEAR(Table1[[#This Row],[Order Date]])</f>
        <v>2025</v>
      </c>
      <c r="P670" t="str">
        <f>"Q"&amp;ROUNDUP(MONTH(Table1[[#This Row],[Order Date]])/3,0)</f>
        <v>Q4</v>
      </c>
      <c r="Q670" s="3">
        <f>Table1[[#This Row],[Profit]]/Table1[[#This Row],[Sales]]</f>
        <v>0.21834920360110802</v>
      </c>
      <c r="R670" t="str">
        <f>IF(Table1[[#This Row],[Sales]]&lt;1000,"LOW",IF(Table1[[#This Row],[Sales]]&lt;5000,"MEDIUM","HIGH"))</f>
        <v>HIGH</v>
      </c>
      <c r="S670" s="2">
        <f>Table1[[#This Row],[Discount]]/100</f>
        <v>0.05</v>
      </c>
    </row>
    <row r="671" spans="1:19" x14ac:dyDescent="0.3">
      <c r="A671">
        <v>10670</v>
      </c>
      <c r="B671" s="1" t="s">
        <v>541</v>
      </c>
      <c r="C671" t="s">
        <v>100</v>
      </c>
      <c r="D671" t="s">
        <v>66</v>
      </c>
      <c r="E671" t="s">
        <v>16</v>
      </c>
      <c r="F671" t="s">
        <v>31</v>
      </c>
      <c r="G671" t="s">
        <v>32</v>
      </c>
      <c r="H671" t="s">
        <v>33</v>
      </c>
      <c r="I671">
        <v>7</v>
      </c>
      <c r="J671">
        <v>22171.1</v>
      </c>
      <c r="K671">
        <v>2336.36</v>
      </c>
      <c r="L671">
        <v>5</v>
      </c>
      <c r="M671" t="s">
        <v>45</v>
      </c>
      <c r="N671" t="str">
        <f>TEXT(Table1[[#This Row],[Order Date]],"MMMM")</f>
        <v>September</v>
      </c>
      <c r="O671">
        <f>YEAR(Table1[[#This Row],[Order Date]])</f>
        <v>2025</v>
      </c>
      <c r="P671" t="str">
        <f>"Q"&amp;ROUNDUP(MONTH(Table1[[#This Row],[Order Date]])/3,0)</f>
        <v>Q3</v>
      </c>
      <c r="Q671" s="3">
        <f>Table1[[#This Row],[Profit]]/Table1[[#This Row],[Sales]]</f>
        <v>0.10537862352341563</v>
      </c>
      <c r="R671" t="str">
        <f>IF(Table1[[#This Row],[Sales]]&lt;1000,"LOW",IF(Table1[[#This Row],[Sales]]&lt;5000,"MEDIUM","HIGH"))</f>
        <v>HIGH</v>
      </c>
      <c r="S671" s="2">
        <f>Table1[[#This Row],[Discount]]/100</f>
        <v>0.05</v>
      </c>
    </row>
    <row r="672" spans="1:19" x14ac:dyDescent="0.3">
      <c r="A672">
        <v>10671</v>
      </c>
      <c r="B672" s="1" t="s">
        <v>390</v>
      </c>
      <c r="C672" t="s">
        <v>542</v>
      </c>
      <c r="D672" t="s">
        <v>56</v>
      </c>
      <c r="E672" t="s">
        <v>57</v>
      </c>
      <c r="F672" t="s">
        <v>17</v>
      </c>
      <c r="G672" t="s">
        <v>75</v>
      </c>
      <c r="H672" t="s">
        <v>76</v>
      </c>
      <c r="I672">
        <v>3</v>
      </c>
      <c r="J672">
        <v>1608</v>
      </c>
      <c r="K672">
        <v>177.25</v>
      </c>
      <c r="L672">
        <v>20</v>
      </c>
      <c r="M672" t="s">
        <v>20</v>
      </c>
      <c r="N672" t="str">
        <f>TEXT(Table1[[#This Row],[Order Date]],"MMMM")</f>
        <v>December</v>
      </c>
      <c r="O672">
        <f>YEAR(Table1[[#This Row],[Order Date]])</f>
        <v>2025</v>
      </c>
      <c r="P672" t="str">
        <f>"Q"&amp;ROUNDUP(MONTH(Table1[[#This Row],[Order Date]])/3,0)</f>
        <v>Q4</v>
      </c>
      <c r="Q672" s="3">
        <f>Table1[[#This Row],[Profit]]/Table1[[#This Row],[Sales]]</f>
        <v>0.11023009950248756</v>
      </c>
      <c r="R672" t="str">
        <f>IF(Table1[[#This Row],[Sales]]&lt;1000,"LOW",IF(Table1[[#This Row],[Sales]]&lt;5000,"MEDIUM","HIGH"))</f>
        <v>MEDIUM</v>
      </c>
      <c r="S672" s="2">
        <f>Table1[[#This Row],[Discount]]/100</f>
        <v>0.2</v>
      </c>
    </row>
    <row r="673" spans="1:19" x14ac:dyDescent="0.3">
      <c r="A673">
        <v>10672</v>
      </c>
      <c r="B673" s="1" t="s">
        <v>331</v>
      </c>
      <c r="C673" t="s">
        <v>172</v>
      </c>
      <c r="D673" t="s">
        <v>66</v>
      </c>
      <c r="E673" t="s">
        <v>16</v>
      </c>
      <c r="F673" t="s">
        <v>25</v>
      </c>
      <c r="G673" t="s">
        <v>95</v>
      </c>
      <c r="H673" t="s">
        <v>96</v>
      </c>
      <c r="I673">
        <v>1</v>
      </c>
      <c r="J673">
        <v>192.95</v>
      </c>
      <c r="K673">
        <v>49.01</v>
      </c>
      <c r="L673">
        <v>15</v>
      </c>
      <c r="M673" t="s">
        <v>40</v>
      </c>
      <c r="N673" t="str">
        <f>TEXT(Table1[[#This Row],[Order Date]],"MMMM")</f>
        <v>October</v>
      </c>
      <c r="O673">
        <f>YEAR(Table1[[#This Row],[Order Date]])</f>
        <v>2025</v>
      </c>
      <c r="P673" t="str">
        <f>"Q"&amp;ROUNDUP(MONTH(Table1[[#This Row],[Order Date]])/3,0)</f>
        <v>Q4</v>
      </c>
      <c r="Q673" s="3">
        <f>Table1[[#This Row],[Profit]]/Table1[[#This Row],[Sales]]</f>
        <v>0.25400362788287123</v>
      </c>
      <c r="R673" t="str">
        <f>IF(Table1[[#This Row],[Sales]]&lt;1000,"LOW",IF(Table1[[#This Row],[Sales]]&lt;5000,"MEDIUM","HIGH"))</f>
        <v>LOW</v>
      </c>
      <c r="S673" s="2">
        <f>Table1[[#This Row],[Discount]]/100</f>
        <v>0.15</v>
      </c>
    </row>
    <row r="674" spans="1:19" x14ac:dyDescent="0.3">
      <c r="A674">
        <v>10673</v>
      </c>
      <c r="B674" s="1" t="s">
        <v>307</v>
      </c>
      <c r="C674" t="s">
        <v>144</v>
      </c>
      <c r="D674" t="s">
        <v>74</v>
      </c>
      <c r="E674" t="s">
        <v>74</v>
      </c>
      <c r="F674" t="s">
        <v>31</v>
      </c>
      <c r="G674" t="s">
        <v>124</v>
      </c>
      <c r="H674" t="s">
        <v>125</v>
      </c>
      <c r="I674">
        <v>1</v>
      </c>
      <c r="J674">
        <v>1661</v>
      </c>
      <c r="K674">
        <v>162.58000000000001</v>
      </c>
      <c r="L674">
        <v>0</v>
      </c>
      <c r="M674" t="s">
        <v>45</v>
      </c>
      <c r="N674" t="str">
        <f>TEXT(Table1[[#This Row],[Order Date]],"MMMM")</f>
        <v>June</v>
      </c>
      <c r="O674">
        <f>YEAR(Table1[[#This Row],[Order Date]])</f>
        <v>2025</v>
      </c>
      <c r="P674" t="str">
        <f>"Q"&amp;ROUNDUP(MONTH(Table1[[#This Row],[Order Date]])/3,0)</f>
        <v>Q2</v>
      </c>
      <c r="Q674" s="3">
        <f>Table1[[#This Row],[Profit]]/Table1[[#This Row],[Sales]]</f>
        <v>9.7880794701986767E-2</v>
      </c>
      <c r="R674" t="str">
        <f>IF(Table1[[#This Row],[Sales]]&lt;1000,"LOW",IF(Table1[[#This Row],[Sales]]&lt;5000,"MEDIUM","HIGH"))</f>
        <v>MEDIUM</v>
      </c>
      <c r="S674" s="2">
        <f>Table1[[#This Row],[Discount]]/100</f>
        <v>0</v>
      </c>
    </row>
    <row r="675" spans="1:19" x14ac:dyDescent="0.3">
      <c r="A675">
        <v>10674</v>
      </c>
      <c r="B675" s="1" t="s">
        <v>543</v>
      </c>
      <c r="C675" t="s">
        <v>189</v>
      </c>
      <c r="D675" t="s">
        <v>74</v>
      </c>
      <c r="E675" t="s">
        <v>74</v>
      </c>
      <c r="F675" t="s">
        <v>31</v>
      </c>
      <c r="G675" t="s">
        <v>38</v>
      </c>
      <c r="H675" t="s">
        <v>39</v>
      </c>
      <c r="I675">
        <v>2</v>
      </c>
      <c r="J675">
        <v>3718</v>
      </c>
      <c r="K675">
        <v>896.18</v>
      </c>
      <c r="L675">
        <v>0</v>
      </c>
      <c r="M675" t="s">
        <v>45</v>
      </c>
      <c r="N675" t="str">
        <f>TEXT(Table1[[#This Row],[Order Date]],"MMMM")</f>
        <v>July</v>
      </c>
      <c r="O675">
        <f>YEAR(Table1[[#This Row],[Order Date]])</f>
        <v>2025</v>
      </c>
      <c r="P675" t="str">
        <f>"Q"&amp;ROUNDUP(MONTH(Table1[[#This Row],[Order Date]])/3,0)</f>
        <v>Q3</v>
      </c>
      <c r="Q675" s="3">
        <f>Table1[[#This Row],[Profit]]/Table1[[#This Row],[Sales]]</f>
        <v>0.2410381925766541</v>
      </c>
      <c r="R675" t="str">
        <f>IF(Table1[[#This Row],[Sales]]&lt;1000,"LOW",IF(Table1[[#This Row],[Sales]]&lt;5000,"MEDIUM","HIGH"))</f>
        <v>MEDIUM</v>
      </c>
      <c r="S675" s="2">
        <f>Table1[[#This Row],[Discount]]/100</f>
        <v>0</v>
      </c>
    </row>
    <row r="676" spans="1:19" x14ac:dyDescent="0.3">
      <c r="A676">
        <v>10675</v>
      </c>
      <c r="B676" s="1" t="s">
        <v>134</v>
      </c>
      <c r="C676" t="s">
        <v>544</v>
      </c>
      <c r="D676" t="s">
        <v>56</v>
      </c>
      <c r="E676" t="s">
        <v>57</v>
      </c>
      <c r="F676" t="s">
        <v>17</v>
      </c>
      <c r="G676" t="s">
        <v>43</v>
      </c>
      <c r="H676" t="s">
        <v>44</v>
      </c>
      <c r="I676">
        <v>8</v>
      </c>
      <c r="J676">
        <v>27261.200000000001</v>
      </c>
      <c r="K676">
        <v>3703.77</v>
      </c>
      <c r="L676">
        <v>15</v>
      </c>
      <c r="M676" t="s">
        <v>40</v>
      </c>
      <c r="N676" t="str">
        <f>TEXT(Table1[[#This Row],[Order Date]],"MMMM")</f>
        <v>July</v>
      </c>
      <c r="O676">
        <f>YEAR(Table1[[#This Row],[Order Date]])</f>
        <v>2025</v>
      </c>
      <c r="P676" t="str">
        <f>"Q"&amp;ROUNDUP(MONTH(Table1[[#This Row],[Order Date]])/3,0)</f>
        <v>Q3</v>
      </c>
      <c r="Q676" s="3">
        <f>Table1[[#This Row],[Profit]]/Table1[[#This Row],[Sales]]</f>
        <v>0.13586232447581179</v>
      </c>
      <c r="R676" t="str">
        <f>IF(Table1[[#This Row],[Sales]]&lt;1000,"LOW",IF(Table1[[#This Row],[Sales]]&lt;5000,"MEDIUM","HIGH"))</f>
        <v>HIGH</v>
      </c>
      <c r="S676" s="2">
        <f>Table1[[#This Row],[Discount]]/100</f>
        <v>0.15</v>
      </c>
    </row>
    <row r="677" spans="1:19" x14ac:dyDescent="0.3">
      <c r="A677">
        <v>10676</v>
      </c>
      <c r="B677" s="1" t="s">
        <v>545</v>
      </c>
      <c r="C677" t="s">
        <v>59</v>
      </c>
      <c r="D677" t="s">
        <v>66</v>
      </c>
      <c r="E677" t="s">
        <v>16</v>
      </c>
      <c r="F677" t="s">
        <v>31</v>
      </c>
      <c r="G677" t="s">
        <v>89</v>
      </c>
      <c r="H677" t="s">
        <v>90</v>
      </c>
      <c r="I677">
        <v>6</v>
      </c>
      <c r="J677">
        <v>12384</v>
      </c>
      <c r="K677">
        <v>3311.22</v>
      </c>
      <c r="L677">
        <v>0</v>
      </c>
      <c r="M677" t="s">
        <v>40</v>
      </c>
      <c r="N677" t="str">
        <f>TEXT(Table1[[#This Row],[Order Date]],"MMMM")</f>
        <v>November</v>
      </c>
      <c r="O677">
        <f>YEAR(Table1[[#This Row],[Order Date]])</f>
        <v>2025</v>
      </c>
      <c r="P677" t="str">
        <f>"Q"&amp;ROUNDUP(MONTH(Table1[[#This Row],[Order Date]])/3,0)</f>
        <v>Q4</v>
      </c>
      <c r="Q677" s="3">
        <f>Table1[[#This Row],[Profit]]/Table1[[#This Row],[Sales]]</f>
        <v>0.26737887596899224</v>
      </c>
      <c r="R677" t="str">
        <f>IF(Table1[[#This Row],[Sales]]&lt;1000,"LOW",IF(Table1[[#This Row],[Sales]]&lt;5000,"MEDIUM","HIGH"))</f>
        <v>HIGH</v>
      </c>
      <c r="S677" s="2">
        <f>Table1[[#This Row],[Discount]]/100</f>
        <v>0</v>
      </c>
    </row>
    <row r="678" spans="1:19" x14ac:dyDescent="0.3">
      <c r="A678">
        <v>10677</v>
      </c>
      <c r="B678" s="1" t="s">
        <v>512</v>
      </c>
      <c r="C678" t="s">
        <v>225</v>
      </c>
      <c r="D678" t="s">
        <v>23</v>
      </c>
      <c r="E678" t="s">
        <v>24</v>
      </c>
      <c r="F678" t="s">
        <v>17</v>
      </c>
      <c r="G678" t="s">
        <v>75</v>
      </c>
      <c r="H678" t="s">
        <v>76</v>
      </c>
      <c r="I678">
        <v>5</v>
      </c>
      <c r="J678">
        <v>19872</v>
      </c>
      <c r="K678">
        <v>4725.93</v>
      </c>
      <c r="L678">
        <v>20</v>
      </c>
      <c r="M678" t="s">
        <v>45</v>
      </c>
      <c r="N678" t="str">
        <f>TEXT(Table1[[#This Row],[Order Date]],"MMMM")</f>
        <v>April</v>
      </c>
      <c r="O678">
        <f>YEAR(Table1[[#This Row],[Order Date]])</f>
        <v>2025</v>
      </c>
      <c r="P678" t="str">
        <f>"Q"&amp;ROUNDUP(MONTH(Table1[[#This Row],[Order Date]])/3,0)</f>
        <v>Q2</v>
      </c>
      <c r="Q678" s="3">
        <f>Table1[[#This Row],[Profit]]/Table1[[#This Row],[Sales]]</f>
        <v>0.23781853864734301</v>
      </c>
      <c r="R678" t="str">
        <f>IF(Table1[[#This Row],[Sales]]&lt;1000,"LOW",IF(Table1[[#This Row],[Sales]]&lt;5000,"MEDIUM","HIGH"))</f>
        <v>HIGH</v>
      </c>
      <c r="S678" s="2">
        <f>Table1[[#This Row],[Discount]]/100</f>
        <v>0.2</v>
      </c>
    </row>
    <row r="679" spans="1:19" x14ac:dyDescent="0.3">
      <c r="A679">
        <v>10678</v>
      </c>
      <c r="B679" s="1" t="s">
        <v>520</v>
      </c>
      <c r="C679" t="s">
        <v>84</v>
      </c>
      <c r="D679" t="s">
        <v>52</v>
      </c>
      <c r="E679" t="s">
        <v>53</v>
      </c>
      <c r="F679" t="s">
        <v>31</v>
      </c>
      <c r="G679" t="s">
        <v>32</v>
      </c>
      <c r="H679" t="s">
        <v>33</v>
      </c>
      <c r="I679">
        <v>3</v>
      </c>
      <c r="J679">
        <v>5570.4</v>
      </c>
      <c r="K679">
        <v>688.49</v>
      </c>
      <c r="L679">
        <v>20</v>
      </c>
      <c r="M679" t="s">
        <v>28</v>
      </c>
      <c r="N679" t="str">
        <f>TEXT(Table1[[#This Row],[Order Date]],"MMMM")</f>
        <v>October</v>
      </c>
      <c r="O679">
        <f>YEAR(Table1[[#This Row],[Order Date]])</f>
        <v>2025</v>
      </c>
      <c r="P679" t="str">
        <f>"Q"&amp;ROUNDUP(MONTH(Table1[[#This Row],[Order Date]])/3,0)</f>
        <v>Q4</v>
      </c>
      <c r="Q679" s="3">
        <f>Table1[[#This Row],[Profit]]/Table1[[#This Row],[Sales]]</f>
        <v>0.12359794628751976</v>
      </c>
      <c r="R679" t="str">
        <f>IF(Table1[[#This Row],[Sales]]&lt;1000,"LOW",IF(Table1[[#This Row],[Sales]]&lt;5000,"MEDIUM","HIGH"))</f>
        <v>HIGH</v>
      </c>
      <c r="S679" s="2">
        <f>Table1[[#This Row],[Discount]]/100</f>
        <v>0.2</v>
      </c>
    </row>
    <row r="680" spans="1:19" x14ac:dyDescent="0.3">
      <c r="A680">
        <v>10679</v>
      </c>
      <c r="B680" s="1" t="s">
        <v>530</v>
      </c>
      <c r="C680" t="s">
        <v>172</v>
      </c>
      <c r="D680" t="s">
        <v>66</v>
      </c>
      <c r="E680" t="s">
        <v>16</v>
      </c>
      <c r="F680" t="s">
        <v>31</v>
      </c>
      <c r="G680" t="s">
        <v>124</v>
      </c>
      <c r="H680" t="s">
        <v>125</v>
      </c>
      <c r="I680">
        <v>1</v>
      </c>
      <c r="J680">
        <v>2719.85</v>
      </c>
      <c r="K680">
        <v>469.59</v>
      </c>
      <c r="L680">
        <v>5</v>
      </c>
      <c r="M680" t="s">
        <v>28</v>
      </c>
      <c r="N680" t="str">
        <f>TEXT(Table1[[#This Row],[Order Date]],"MMMM")</f>
        <v>June</v>
      </c>
      <c r="O680">
        <f>YEAR(Table1[[#This Row],[Order Date]])</f>
        <v>2025</v>
      </c>
      <c r="P680" t="str">
        <f>"Q"&amp;ROUNDUP(MONTH(Table1[[#This Row],[Order Date]])/3,0)</f>
        <v>Q2</v>
      </c>
      <c r="Q680" s="3">
        <f>Table1[[#This Row],[Profit]]/Table1[[#This Row],[Sales]]</f>
        <v>0.17265290365277497</v>
      </c>
      <c r="R680" t="str">
        <f>IF(Table1[[#This Row],[Sales]]&lt;1000,"LOW",IF(Table1[[#This Row],[Sales]]&lt;5000,"MEDIUM","HIGH"))</f>
        <v>MEDIUM</v>
      </c>
      <c r="S680" s="2">
        <f>Table1[[#This Row],[Discount]]/100</f>
        <v>0.05</v>
      </c>
    </row>
    <row r="681" spans="1:19" x14ac:dyDescent="0.3">
      <c r="A681">
        <v>10680</v>
      </c>
      <c r="B681" s="1" t="s">
        <v>285</v>
      </c>
      <c r="C681" t="s">
        <v>241</v>
      </c>
      <c r="D681" t="s">
        <v>66</v>
      </c>
      <c r="E681" t="s">
        <v>16</v>
      </c>
      <c r="F681" t="s">
        <v>31</v>
      </c>
      <c r="G681" t="s">
        <v>124</v>
      </c>
      <c r="H681" t="s">
        <v>125</v>
      </c>
      <c r="I681">
        <v>5</v>
      </c>
      <c r="J681">
        <v>8648</v>
      </c>
      <c r="K681">
        <v>2356.02</v>
      </c>
      <c r="L681">
        <v>20</v>
      </c>
      <c r="M681" t="s">
        <v>45</v>
      </c>
      <c r="N681" t="str">
        <f>TEXT(Table1[[#This Row],[Order Date]],"MMMM")</f>
        <v>March</v>
      </c>
      <c r="O681">
        <f>YEAR(Table1[[#This Row],[Order Date]])</f>
        <v>2025</v>
      </c>
      <c r="P681" t="str">
        <f>"Q"&amp;ROUNDUP(MONTH(Table1[[#This Row],[Order Date]])/3,0)</f>
        <v>Q1</v>
      </c>
      <c r="Q681" s="3">
        <f>Table1[[#This Row],[Profit]]/Table1[[#This Row],[Sales]]</f>
        <v>0.27243524514338574</v>
      </c>
      <c r="R681" t="str">
        <f>IF(Table1[[#This Row],[Sales]]&lt;1000,"LOW",IF(Table1[[#This Row],[Sales]]&lt;5000,"MEDIUM","HIGH"))</f>
        <v>HIGH</v>
      </c>
      <c r="S681" s="2">
        <f>Table1[[#This Row],[Discount]]/100</f>
        <v>0.2</v>
      </c>
    </row>
    <row r="682" spans="1:19" x14ac:dyDescent="0.3">
      <c r="A682">
        <v>10681</v>
      </c>
      <c r="B682" s="1" t="s">
        <v>546</v>
      </c>
      <c r="C682" t="s">
        <v>317</v>
      </c>
      <c r="D682" t="s">
        <v>74</v>
      </c>
      <c r="E682" t="s">
        <v>74</v>
      </c>
      <c r="F682" t="s">
        <v>25</v>
      </c>
      <c r="G682" t="s">
        <v>26</v>
      </c>
      <c r="H682" t="s">
        <v>48</v>
      </c>
      <c r="I682">
        <v>8</v>
      </c>
      <c r="J682">
        <v>6684.4</v>
      </c>
      <c r="K682">
        <v>1506.94</v>
      </c>
      <c r="L682">
        <v>15</v>
      </c>
      <c r="M682" t="s">
        <v>45</v>
      </c>
      <c r="N682" t="str">
        <f>TEXT(Table1[[#This Row],[Order Date]],"MMMM")</f>
        <v>April</v>
      </c>
      <c r="O682">
        <f>YEAR(Table1[[#This Row],[Order Date]])</f>
        <v>2025</v>
      </c>
      <c r="P682" t="str">
        <f>"Q"&amp;ROUNDUP(MONTH(Table1[[#This Row],[Order Date]])/3,0)</f>
        <v>Q2</v>
      </c>
      <c r="Q682" s="3">
        <f>Table1[[#This Row],[Profit]]/Table1[[#This Row],[Sales]]</f>
        <v>0.22544132607264677</v>
      </c>
      <c r="R682" t="str">
        <f>IF(Table1[[#This Row],[Sales]]&lt;1000,"LOW",IF(Table1[[#This Row],[Sales]]&lt;5000,"MEDIUM","HIGH"))</f>
        <v>HIGH</v>
      </c>
      <c r="S682" s="2">
        <f>Table1[[#This Row],[Discount]]/100</f>
        <v>0.15</v>
      </c>
    </row>
    <row r="683" spans="1:19" x14ac:dyDescent="0.3">
      <c r="A683">
        <v>10682</v>
      </c>
      <c r="B683" s="1" t="s">
        <v>346</v>
      </c>
      <c r="C683" t="s">
        <v>366</v>
      </c>
      <c r="D683" t="s">
        <v>74</v>
      </c>
      <c r="E683" t="s">
        <v>74</v>
      </c>
      <c r="F683" t="s">
        <v>31</v>
      </c>
      <c r="G683" t="s">
        <v>89</v>
      </c>
      <c r="H683" t="s">
        <v>90</v>
      </c>
      <c r="I683">
        <v>4</v>
      </c>
      <c r="J683">
        <v>1048.8</v>
      </c>
      <c r="K683">
        <v>264.55</v>
      </c>
      <c r="L683">
        <v>5</v>
      </c>
      <c r="M683" t="s">
        <v>20</v>
      </c>
      <c r="N683" t="str">
        <f>TEXT(Table1[[#This Row],[Order Date]],"MMMM")</f>
        <v>October</v>
      </c>
      <c r="O683">
        <f>YEAR(Table1[[#This Row],[Order Date]])</f>
        <v>2025</v>
      </c>
      <c r="P683" t="str">
        <f>"Q"&amp;ROUNDUP(MONTH(Table1[[#This Row],[Order Date]])/3,0)</f>
        <v>Q4</v>
      </c>
      <c r="Q683" s="3">
        <f>Table1[[#This Row],[Profit]]/Table1[[#This Row],[Sales]]</f>
        <v>0.2522406559877956</v>
      </c>
      <c r="R683" t="str">
        <f>IF(Table1[[#This Row],[Sales]]&lt;1000,"LOW",IF(Table1[[#This Row],[Sales]]&lt;5000,"MEDIUM","HIGH"))</f>
        <v>MEDIUM</v>
      </c>
      <c r="S683" s="2">
        <f>Table1[[#This Row],[Discount]]/100</f>
        <v>0.05</v>
      </c>
    </row>
    <row r="684" spans="1:19" x14ac:dyDescent="0.3">
      <c r="A684">
        <v>10683</v>
      </c>
      <c r="B684" s="1" t="s">
        <v>547</v>
      </c>
      <c r="C684" t="s">
        <v>407</v>
      </c>
      <c r="D684" t="s">
        <v>23</v>
      </c>
      <c r="E684" t="s">
        <v>24</v>
      </c>
      <c r="F684" t="s">
        <v>25</v>
      </c>
      <c r="G684" t="s">
        <v>95</v>
      </c>
      <c r="H684" t="s">
        <v>96</v>
      </c>
      <c r="I684">
        <v>3</v>
      </c>
      <c r="J684">
        <v>5983.2</v>
      </c>
      <c r="K684">
        <v>1745.51</v>
      </c>
      <c r="L684">
        <v>20</v>
      </c>
      <c r="M684" t="s">
        <v>45</v>
      </c>
      <c r="N684" t="str">
        <f>TEXT(Table1[[#This Row],[Order Date]],"MMMM")</f>
        <v>April</v>
      </c>
      <c r="O684">
        <f>YEAR(Table1[[#This Row],[Order Date]])</f>
        <v>2025</v>
      </c>
      <c r="P684" t="str">
        <f>"Q"&amp;ROUNDUP(MONTH(Table1[[#This Row],[Order Date]])/3,0)</f>
        <v>Q2</v>
      </c>
      <c r="Q684" s="3">
        <f>Table1[[#This Row],[Profit]]/Table1[[#This Row],[Sales]]</f>
        <v>0.29173519187057095</v>
      </c>
      <c r="R684" t="str">
        <f>IF(Table1[[#This Row],[Sales]]&lt;1000,"LOW",IF(Table1[[#This Row],[Sales]]&lt;5000,"MEDIUM","HIGH"))</f>
        <v>HIGH</v>
      </c>
      <c r="S684" s="2">
        <f>Table1[[#This Row],[Discount]]/100</f>
        <v>0.2</v>
      </c>
    </row>
    <row r="685" spans="1:19" x14ac:dyDescent="0.3">
      <c r="A685">
        <v>10684</v>
      </c>
      <c r="B685" s="1" t="s">
        <v>455</v>
      </c>
      <c r="C685" t="s">
        <v>548</v>
      </c>
      <c r="D685" t="s">
        <v>60</v>
      </c>
      <c r="E685" t="s">
        <v>61</v>
      </c>
      <c r="F685" t="s">
        <v>25</v>
      </c>
      <c r="G685" t="s">
        <v>26</v>
      </c>
      <c r="H685" t="s">
        <v>48</v>
      </c>
      <c r="I685">
        <v>7</v>
      </c>
      <c r="J685">
        <v>6272</v>
      </c>
      <c r="K685">
        <v>1652.41</v>
      </c>
      <c r="L685">
        <v>20</v>
      </c>
      <c r="M685" t="s">
        <v>49</v>
      </c>
      <c r="N685" t="str">
        <f>TEXT(Table1[[#This Row],[Order Date]],"MMMM")</f>
        <v>March</v>
      </c>
      <c r="O685">
        <f>YEAR(Table1[[#This Row],[Order Date]])</f>
        <v>2025</v>
      </c>
      <c r="P685" t="str">
        <f>"Q"&amp;ROUNDUP(MONTH(Table1[[#This Row],[Order Date]])/3,0)</f>
        <v>Q1</v>
      </c>
      <c r="Q685" s="3">
        <f>Table1[[#This Row],[Profit]]/Table1[[#This Row],[Sales]]</f>
        <v>0.26345822704081634</v>
      </c>
      <c r="R685" t="str">
        <f>IF(Table1[[#This Row],[Sales]]&lt;1000,"LOW",IF(Table1[[#This Row],[Sales]]&lt;5000,"MEDIUM","HIGH"))</f>
        <v>HIGH</v>
      </c>
      <c r="S685" s="2">
        <f>Table1[[#This Row],[Discount]]/100</f>
        <v>0.2</v>
      </c>
    </row>
    <row r="686" spans="1:19" x14ac:dyDescent="0.3">
      <c r="A686">
        <v>10685</v>
      </c>
      <c r="B686" s="1" t="s">
        <v>549</v>
      </c>
      <c r="C686" t="s">
        <v>311</v>
      </c>
      <c r="D686" t="s">
        <v>56</v>
      </c>
      <c r="E686" t="s">
        <v>57</v>
      </c>
      <c r="F686" t="s">
        <v>31</v>
      </c>
      <c r="G686" t="s">
        <v>32</v>
      </c>
      <c r="H686" t="s">
        <v>33</v>
      </c>
      <c r="I686">
        <v>8</v>
      </c>
      <c r="J686">
        <v>16332.4</v>
      </c>
      <c r="K686">
        <v>4739.08</v>
      </c>
      <c r="L686">
        <v>5</v>
      </c>
      <c r="M686" t="s">
        <v>45</v>
      </c>
      <c r="N686" t="str">
        <f>TEXT(Table1[[#This Row],[Order Date]],"MMMM")</f>
        <v>June</v>
      </c>
      <c r="O686">
        <f>YEAR(Table1[[#This Row],[Order Date]])</f>
        <v>2025</v>
      </c>
      <c r="P686" t="str">
        <f>"Q"&amp;ROUNDUP(MONTH(Table1[[#This Row],[Order Date]])/3,0)</f>
        <v>Q2</v>
      </c>
      <c r="Q686" s="3">
        <f>Table1[[#This Row],[Profit]]/Table1[[#This Row],[Sales]]</f>
        <v>0.2901643359212363</v>
      </c>
      <c r="R686" t="str">
        <f>IF(Table1[[#This Row],[Sales]]&lt;1000,"LOW",IF(Table1[[#This Row],[Sales]]&lt;5000,"MEDIUM","HIGH"))</f>
        <v>HIGH</v>
      </c>
      <c r="S686" s="2">
        <f>Table1[[#This Row],[Discount]]/100</f>
        <v>0.05</v>
      </c>
    </row>
    <row r="687" spans="1:19" x14ac:dyDescent="0.3">
      <c r="A687">
        <v>10686</v>
      </c>
      <c r="B687" s="1" t="s">
        <v>332</v>
      </c>
      <c r="C687" t="s">
        <v>456</v>
      </c>
      <c r="D687" t="s">
        <v>60</v>
      </c>
      <c r="E687" t="s">
        <v>61</v>
      </c>
      <c r="F687" t="s">
        <v>25</v>
      </c>
      <c r="G687" t="s">
        <v>26</v>
      </c>
      <c r="H687" t="s">
        <v>71</v>
      </c>
      <c r="I687">
        <v>1</v>
      </c>
      <c r="J687">
        <v>994.65</v>
      </c>
      <c r="K687">
        <v>134.25</v>
      </c>
      <c r="L687">
        <v>5</v>
      </c>
      <c r="M687" t="s">
        <v>45</v>
      </c>
      <c r="N687" t="str">
        <f>TEXT(Table1[[#This Row],[Order Date]],"MMMM")</f>
        <v>December</v>
      </c>
      <c r="O687">
        <f>YEAR(Table1[[#This Row],[Order Date]])</f>
        <v>2025</v>
      </c>
      <c r="P687" t="str">
        <f>"Q"&amp;ROUNDUP(MONTH(Table1[[#This Row],[Order Date]])/3,0)</f>
        <v>Q4</v>
      </c>
      <c r="Q687" s="3">
        <f>Table1[[#This Row],[Profit]]/Table1[[#This Row],[Sales]]</f>
        <v>0.13497210073895341</v>
      </c>
      <c r="R687" t="str">
        <f>IF(Table1[[#This Row],[Sales]]&lt;1000,"LOW",IF(Table1[[#This Row],[Sales]]&lt;5000,"MEDIUM","HIGH"))</f>
        <v>LOW</v>
      </c>
      <c r="S687" s="2">
        <f>Table1[[#This Row],[Discount]]/100</f>
        <v>0.05</v>
      </c>
    </row>
    <row r="688" spans="1:19" x14ac:dyDescent="0.3">
      <c r="A688">
        <v>10687</v>
      </c>
      <c r="B688" s="1" t="s">
        <v>13</v>
      </c>
      <c r="C688" t="s">
        <v>301</v>
      </c>
      <c r="D688" t="s">
        <v>15</v>
      </c>
      <c r="E688" t="s">
        <v>16</v>
      </c>
      <c r="F688" t="s">
        <v>31</v>
      </c>
      <c r="G688" t="s">
        <v>38</v>
      </c>
      <c r="H688" t="s">
        <v>39</v>
      </c>
      <c r="I688">
        <v>1</v>
      </c>
      <c r="J688">
        <v>3160.3</v>
      </c>
      <c r="K688">
        <v>470.93</v>
      </c>
      <c r="L688">
        <v>15</v>
      </c>
      <c r="M688" t="s">
        <v>49</v>
      </c>
      <c r="N688" t="str">
        <f>TEXT(Table1[[#This Row],[Order Date]],"MMMM")</f>
        <v>January</v>
      </c>
      <c r="O688">
        <f>YEAR(Table1[[#This Row],[Order Date]])</f>
        <v>2025</v>
      </c>
      <c r="P688" t="str">
        <f>"Q"&amp;ROUNDUP(MONTH(Table1[[#This Row],[Order Date]])/3,0)</f>
        <v>Q1</v>
      </c>
      <c r="Q688" s="3">
        <f>Table1[[#This Row],[Profit]]/Table1[[#This Row],[Sales]]</f>
        <v>0.14901433408220738</v>
      </c>
      <c r="R688" t="str">
        <f>IF(Table1[[#This Row],[Sales]]&lt;1000,"LOW",IF(Table1[[#This Row],[Sales]]&lt;5000,"MEDIUM","HIGH"))</f>
        <v>MEDIUM</v>
      </c>
      <c r="S688" s="2">
        <f>Table1[[#This Row],[Discount]]/100</f>
        <v>0.15</v>
      </c>
    </row>
    <row r="689" spans="1:19" x14ac:dyDescent="0.3">
      <c r="A689">
        <v>10688</v>
      </c>
      <c r="B689" s="1" t="s">
        <v>550</v>
      </c>
      <c r="C689" t="s">
        <v>444</v>
      </c>
      <c r="D689" t="s">
        <v>74</v>
      </c>
      <c r="E689" t="s">
        <v>74</v>
      </c>
      <c r="F689" t="s">
        <v>17</v>
      </c>
      <c r="G689" t="s">
        <v>18</v>
      </c>
      <c r="H689" t="s">
        <v>19</v>
      </c>
      <c r="I689">
        <v>6</v>
      </c>
      <c r="J689">
        <v>20634.599999999999</v>
      </c>
      <c r="K689">
        <v>3745.82</v>
      </c>
      <c r="L689">
        <v>15</v>
      </c>
      <c r="M689" t="s">
        <v>45</v>
      </c>
      <c r="N689" t="str">
        <f>TEXT(Table1[[#This Row],[Order Date]],"MMMM")</f>
        <v>September</v>
      </c>
      <c r="O689">
        <f>YEAR(Table1[[#This Row],[Order Date]])</f>
        <v>2025</v>
      </c>
      <c r="P689" t="str">
        <f>"Q"&amp;ROUNDUP(MONTH(Table1[[#This Row],[Order Date]])/3,0)</f>
        <v>Q3</v>
      </c>
      <c r="Q689" s="3">
        <f>Table1[[#This Row],[Profit]]/Table1[[#This Row],[Sales]]</f>
        <v>0.1815310207127834</v>
      </c>
      <c r="R689" t="str">
        <f>IF(Table1[[#This Row],[Sales]]&lt;1000,"LOW",IF(Table1[[#This Row],[Sales]]&lt;5000,"MEDIUM","HIGH"))</f>
        <v>HIGH</v>
      </c>
      <c r="S689" s="2">
        <f>Table1[[#This Row],[Discount]]/100</f>
        <v>0.15</v>
      </c>
    </row>
    <row r="690" spans="1:19" x14ac:dyDescent="0.3">
      <c r="A690">
        <v>10689</v>
      </c>
      <c r="B690" s="1" t="s">
        <v>176</v>
      </c>
      <c r="C690" t="s">
        <v>111</v>
      </c>
      <c r="D690" t="s">
        <v>56</v>
      </c>
      <c r="E690" t="s">
        <v>57</v>
      </c>
      <c r="F690" t="s">
        <v>31</v>
      </c>
      <c r="G690" t="s">
        <v>38</v>
      </c>
      <c r="H690" t="s">
        <v>39</v>
      </c>
      <c r="I690">
        <v>8</v>
      </c>
      <c r="J690">
        <v>13235.2</v>
      </c>
      <c r="K690">
        <v>2265.08</v>
      </c>
      <c r="L690">
        <v>20</v>
      </c>
      <c r="M690" t="s">
        <v>28</v>
      </c>
      <c r="N690" t="str">
        <f>TEXT(Table1[[#This Row],[Order Date]],"MMMM")</f>
        <v>December</v>
      </c>
      <c r="O690">
        <f>YEAR(Table1[[#This Row],[Order Date]])</f>
        <v>2025</v>
      </c>
      <c r="P690" t="str">
        <f>"Q"&amp;ROUNDUP(MONTH(Table1[[#This Row],[Order Date]])/3,0)</f>
        <v>Q4</v>
      </c>
      <c r="Q690" s="3">
        <f>Table1[[#This Row],[Profit]]/Table1[[#This Row],[Sales]]</f>
        <v>0.17114059477756285</v>
      </c>
      <c r="R690" t="str">
        <f>IF(Table1[[#This Row],[Sales]]&lt;1000,"LOW",IF(Table1[[#This Row],[Sales]]&lt;5000,"MEDIUM","HIGH"))</f>
        <v>HIGH</v>
      </c>
      <c r="S690" s="2">
        <f>Table1[[#This Row],[Discount]]/100</f>
        <v>0.2</v>
      </c>
    </row>
    <row r="691" spans="1:19" x14ac:dyDescent="0.3">
      <c r="A691">
        <v>10690</v>
      </c>
      <c r="B691" s="1" t="s">
        <v>477</v>
      </c>
      <c r="C691" t="s">
        <v>380</v>
      </c>
      <c r="D691" t="s">
        <v>15</v>
      </c>
      <c r="E691" t="s">
        <v>16</v>
      </c>
      <c r="F691" t="s">
        <v>31</v>
      </c>
      <c r="G691" t="s">
        <v>124</v>
      </c>
      <c r="H691" t="s">
        <v>125</v>
      </c>
      <c r="I691">
        <v>2</v>
      </c>
      <c r="J691">
        <v>376.2</v>
      </c>
      <c r="K691">
        <v>107.7</v>
      </c>
      <c r="L691">
        <v>5</v>
      </c>
      <c r="M691" t="s">
        <v>40</v>
      </c>
      <c r="N691" t="str">
        <f>TEXT(Table1[[#This Row],[Order Date]],"MMMM")</f>
        <v>September</v>
      </c>
      <c r="O691">
        <f>YEAR(Table1[[#This Row],[Order Date]])</f>
        <v>2025</v>
      </c>
      <c r="P691" t="str">
        <f>"Q"&amp;ROUNDUP(MONTH(Table1[[#This Row],[Order Date]])/3,0)</f>
        <v>Q3</v>
      </c>
      <c r="Q691" s="3">
        <f>Table1[[#This Row],[Profit]]/Table1[[#This Row],[Sales]]</f>
        <v>0.28628389154704947</v>
      </c>
      <c r="R691" t="str">
        <f>IF(Table1[[#This Row],[Sales]]&lt;1000,"LOW",IF(Table1[[#This Row],[Sales]]&lt;5000,"MEDIUM","HIGH"))</f>
        <v>LOW</v>
      </c>
      <c r="S691" s="2">
        <f>Table1[[#This Row],[Discount]]/100</f>
        <v>0.05</v>
      </c>
    </row>
    <row r="692" spans="1:19" x14ac:dyDescent="0.3">
      <c r="A692">
        <v>10691</v>
      </c>
      <c r="B692" s="1" t="s">
        <v>179</v>
      </c>
      <c r="C692" t="s">
        <v>415</v>
      </c>
      <c r="D692" t="s">
        <v>15</v>
      </c>
      <c r="E692" t="s">
        <v>16</v>
      </c>
      <c r="F692" t="s">
        <v>25</v>
      </c>
      <c r="G692" t="s">
        <v>26</v>
      </c>
      <c r="H692" t="s">
        <v>27</v>
      </c>
      <c r="I692">
        <v>1</v>
      </c>
      <c r="J692">
        <v>3276</v>
      </c>
      <c r="K692">
        <v>656.36</v>
      </c>
      <c r="L692">
        <v>10</v>
      </c>
      <c r="M692" t="s">
        <v>40</v>
      </c>
      <c r="N692" t="str">
        <f>TEXT(Table1[[#This Row],[Order Date]],"MMMM")</f>
        <v>November</v>
      </c>
      <c r="O692">
        <f>YEAR(Table1[[#This Row],[Order Date]])</f>
        <v>2025</v>
      </c>
      <c r="P692" t="str">
        <f>"Q"&amp;ROUNDUP(MONTH(Table1[[#This Row],[Order Date]])/3,0)</f>
        <v>Q4</v>
      </c>
      <c r="Q692" s="3">
        <f>Table1[[#This Row],[Profit]]/Table1[[#This Row],[Sales]]</f>
        <v>0.20035409035409035</v>
      </c>
      <c r="R692" t="str">
        <f>IF(Table1[[#This Row],[Sales]]&lt;1000,"LOW",IF(Table1[[#This Row],[Sales]]&lt;5000,"MEDIUM","HIGH"))</f>
        <v>MEDIUM</v>
      </c>
      <c r="S692" s="2">
        <f>Table1[[#This Row],[Discount]]/100</f>
        <v>0.1</v>
      </c>
    </row>
    <row r="693" spans="1:19" x14ac:dyDescent="0.3">
      <c r="A693">
        <v>10692</v>
      </c>
      <c r="B693" s="1" t="s">
        <v>58</v>
      </c>
      <c r="C693" t="s">
        <v>308</v>
      </c>
      <c r="D693" t="s">
        <v>36</v>
      </c>
      <c r="E693" t="s">
        <v>37</v>
      </c>
      <c r="F693" t="s">
        <v>31</v>
      </c>
      <c r="G693" t="s">
        <v>124</v>
      </c>
      <c r="H693" t="s">
        <v>125</v>
      </c>
      <c r="I693">
        <v>1</v>
      </c>
      <c r="J693">
        <v>3172.05</v>
      </c>
      <c r="K693">
        <v>580.59</v>
      </c>
      <c r="L693">
        <v>5</v>
      </c>
      <c r="M693" t="s">
        <v>28</v>
      </c>
      <c r="N693" t="str">
        <f>TEXT(Table1[[#This Row],[Order Date]],"MMMM")</f>
        <v>February</v>
      </c>
      <c r="O693">
        <f>YEAR(Table1[[#This Row],[Order Date]])</f>
        <v>2025</v>
      </c>
      <c r="P693" t="str">
        <f>"Q"&amp;ROUNDUP(MONTH(Table1[[#This Row],[Order Date]])/3,0)</f>
        <v>Q1</v>
      </c>
      <c r="Q693" s="3">
        <f>Table1[[#This Row],[Profit]]/Table1[[#This Row],[Sales]]</f>
        <v>0.18303305433394806</v>
      </c>
      <c r="R693" t="str">
        <f>IF(Table1[[#This Row],[Sales]]&lt;1000,"LOW",IF(Table1[[#This Row],[Sales]]&lt;5000,"MEDIUM","HIGH"))</f>
        <v>MEDIUM</v>
      </c>
      <c r="S693" s="2">
        <f>Table1[[#This Row],[Discount]]/100</f>
        <v>0.05</v>
      </c>
    </row>
    <row r="694" spans="1:19" x14ac:dyDescent="0.3">
      <c r="A694">
        <v>10693</v>
      </c>
      <c r="B694" s="1" t="s">
        <v>260</v>
      </c>
      <c r="C694" t="s">
        <v>443</v>
      </c>
      <c r="D694" t="s">
        <v>36</v>
      </c>
      <c r="E694" t="s">
        <v>37</v>
      </c>
      <c r="F694" t="s">
        <v>17</v>
      </c>
      <c r="G694" t="s">
        <v>18</v>
      </c>
      <c r="H694" t="s">
        <v>19</v>
      </c>
      <c r="I694">
        <v>7</v>
      </c>
      <c r="J694">
        <v>22461.25</v>
      </c>
      <c r="K694">
        <v>3520.06</v>
      </c>
      <c r="L694">
        <v>15</v>
      </c>
      <c r="M694" t="s">
        <v>28</v>
      </c>
      <c r="N694" t="str">
        <f>TEXT(Table1[[#This Row],[Order Date]],"MMMM")</f>
        <v>April</v>
      </c>
      <c r="O694">
        <f>YEAR(Table1[[#This Row],[Order Date]])</f>
        <v>2025</v>
      </c>
      <c r="P694" t="str">
        <f>"Q"&amp;ROUNDUP(MONTH(Table1[[#This Row],[Order Date]])/3,0)</f>
        <v>Q2</v>
      </c>
      <c r="Q694" s="3">
        <f>Table1[[#This Row],[Profit]]/Table1[[#This Row],[Sales]]</f>
        <v>0.15671701263286772</v>
      </c>
      <c r="R694" t="str">
        <f>IF(Table1[[#This Row],[Sales]]&lt;1000,"LOW",IF(Table1[[#This Row],[Sales]]&lt;5000,"MEDIUM","HIGH"))</f>
        <v>HIGH</v>
      </c>
      <c r="S694" s="2">
        <f>Table1[[#This Row],[Discount]]/100</f>
        <v>0.15</v>
      </c>
    </row>
    <row r="695" spans="1:19" x14ac:dyDescent="0.3">
      <c r="A695">
        <v>10694</v>
      </c>
      <c r="B695" s="1" t="s">
        <v>266</v>
      </c>
      <c r="C695" t="s">
        <v>201</v>
      </c>
      <c r="D695" t="s">
        <v>52</v>
      </c>
      <c r="E695" t="s">
        <v>53</v>
      </c>
      <c r="F695" t="s">
        <v>31</v>
      </c>
      <c r="G695" t="s">
        <v>89</v>
      </c>
      <c r="H695" t="s">
        <v>90</v>
      </c>
      <c r="I695">
        <v>8</v>
      </c>
      <c r="J695">
        <v>22880</v>
      </c>
      <c r="K695">
        <v>5333.74</v>
      </c>
      <c r="L695">
        <v>0</v>
      </c>
      <c r="M695" t="s">
        <v>28</v>
      </c>
      <c r="N695" t="str">
        <f>TEXT(Table1[[#This Row],[Order Date]],"MMMM")</f>
        <v>July</v>
      </c>
      <c r="O695">
        <f>YEAR(Table1[[#This Row],[Order Date]])</f>
        <v>2025</v>
      </c>
      <c r="P695" t="str">
        <f>"Q"&amp;ROUNDUP(MONTH(Table1[[#This Row],[Order Date]])/3,0)</f>
        <v>Q3</v>
      </c>
      <c r="Q695" s="3">
        <f>Table1[[#This Row],[Profit]]/Table1[[#This Row],[Sales]]</f>
        <v>0.23311800699300697</v>
      </c>
      <c r="R695" t="str">
        <f>IF(Table1[[#This Row],[Sales]]&lt;1000,"LOW",IF(Table1[[#This Row],[Sales]]&lt;5000,"MEDIUM","HIGH"))</f>
        <v>HIGH</v>
      </c>
      <c r="S695" s="2">
        <f>Table1[[#This Row],[Discount]]/100</f>
        <v>0</v>
      </c>
    </row>
    <row r="696" spans="1:19" x14ac:dyDescent="0.3">
      <c r="A696">
        <v>10695</v>
      </c>
      <c r="B696" s="1" t="s">
        <v>358</v>
      </c>
      <c r="C696" t="s">
        <v>14</v>
      </c>
      <c r="D696" t="s">
        <v>56</v>
      </c>
      <c r="E696" t="s">
        <v>57</v>
      </c>
      <c r="F696" t="s">
        <v>25</v>
      </c>
      <c r="G696" t="s">
        <v>95</v>
      </c>
      <c r="H696" t="s">
        <v>96</v>
      </c>
      <c r="I696">
        <v>8</v>
      </c>
      <c r="J696">
        <v>3903.2</v>
      </c>
      <c r="K696">
        <v>1076.33</v>
      </c>
      <c r="L696">
        <v>15</v>
      </c>
      <c r="M696" t="s">
        <v>28</v>
      </c>
      <c r="N696" t="str">
        <f>TEXT(Table1[[#This Row],[Order Date]],"MMMM")</f>
        <v>October</v>
      </c>
      <c r="O696">
        <f>YEAR(Table1[[#This Row],[Order Date]])</f>
        <v>2025</v>
      </c>
      <c r="P696" t="str">
        <f>"Q"&amp;ROUNDUP(MONTH(Table1[[#This Row],[Order Date]])/3,0)</f>
        <v>Q4</v>
      </c>
      <c r="Q696" s="3">
        <f>Table1[[#This Row],[Profit]]/Table1[[#This Row],[Sales]]</f>
        <v>0.27575579012092644</v>
      </c>
      <c r="R696" t="str">
        <f>IF(Table1[[#This Row],[Sales]]&lt;1000,"LOW",IF(Table1[[#This Row],[Sales]]&lt;5000,"MEDIUM","HIGH"))</f>
        <v>MEDIUM</v>
      </c>
      <c r="S696" s="2">
        <f>Table1[[#This Row],[Discount]]/100</f>
        <v>0.15</v>
      </c>
    </row>
    <row r="697" spans="1:19" x14ac:dyDescent="0.3">
      <c r="A697">
        <v>10696</v>
      </c>
      <c r="B697" s="1" t="s">
        <v>161</v>
      </c>
      <c r="C697" t="s">
        <v>51</v>
      </c>
      <c r="D697" t="s">
        <v>74</v>
      </c>
      <c r="E697" t="s">
        <v>74</v>
      </c>
      <c r="F697" t="s">
        <v>25</v>
      </c>
      <c r="G697" t="s">
        <v>26</v>
      </c>
      <c r="H697" t="s">
        <v>71</v>
      </c>
      <c r="I697">
        <v>6</v>
      </c>
      <c r="J697">
        <v>10827</v>
      </c>
      <c r="K697">
        <v>2530.69</v>
      </c>
      <c r="L697">
        <v>10</v>
      </c>
      <c r="M697" t="s">
        <v>40</v>
      </c>
      <c r="N697" t="str">
        <f>TEXT(Table1[[#This Row],[Order Date]],"MMMM")</f>
        <v>November</v>
      </c>
      <c r="O697">
        <f>YEAR(Table1[[#This Row],[Order Date]])</f>
        <v>2025</v>
      </c>
      <c r="P697" t="str">
        <f>"Q"&amp;ROUNDUP(MONTH(Table1[[#This Row],[Order Date]])/3,0)</f>
        <v>Q4</v>
      </c>
      <c r="Q697" s="3">
        <f>Table1[[#This Row],[Profit]]/Table1[[#This Row],[Sales]]</f>
        <v>0.23373880114528495</v>
      </c>
      <c r="R697" t="str">
        <f>IF(Table1[[#This Row],[Sales]]&lt;1000,"LOW",IF(Table1[[#This Row],[Sales]]&lt;5000,"MEDIUM","HIGH"))</f>
        <v>HIGH</v>
      </c>
      <c r="S697" s="2">
        <f>Table1[[#This Row],[Discount]]/100</f>
        <v>0.1</v>
      </c>
    </row>
    <row r="698" spans="1:19" x14ac:dyDescent="0.3">
      <c r="A698">
        <v>10697</v>
      </c>
      <c r="B698" s="1" t="s">
        <v>112</v>
      </c>
      <c r="C698" t="s">
        <v>146</v>
      </c>
      <c r="D698" t="s">
        <v>74</v>
      </c>
      <c r="E698" t="s">
        <v>74</v>
      </c>
      <c r="F698" t="s">
        <v>17</v>
      </c>
      <c r="G698" t="s">
        <v>75</v>
      </c>
      <c r="H698" t="s">
        <v>76</v>
      </c>
      <c r="I698">
        <v>4</v>
      </c>
      <c r="J698">
        <v>8544</v>
      </c>
      <c r="K698">
        <v>1554.16</v>
      </c>
      <c r="L698">
        <v>0</v>
      </c>
      <c r="M698" t="s">
        <v>45</v>
      </c>
      <c r="N698" t="str">
        <f>TEXT(Table1[[#This Row],[Order Date]],"MMMM")</f>
        <v>May</v>
      </c>
      <c r="O698">
        <f>YEAR(Table1[[#This Row],[Order Date]])</f>
        <v>2025</v>
      </c>
      <c r="P698" t="str">
        <f>"Q"&amp;ROUNDUP(MONTH(Table1[[#This Row],[Order Date]])/3,0)</f>
        <v>Q2</v>
      </c>
      <c r="Q698" s="3">
        <f>Table1[[#This Row],[Profit]]/Table1[[#This Row],[Sales]]</f>
        <v>0.18190074906367043</v>
      </c>
      <c r="R698" t="str">
        <f>IF(Table1[[#This Row],[Sales]]&lt;1000,"LOW",IF(Table1[[#This Row],[Sales]]&lt;5000,"MEDIUM","HIGH"))</f>
        <v>HIGH</v>
      </c>
      <c r="S698" s="2">
        <f>Table1[[#This Row],[Discount]]/100</f>
        <v>0</v>
      </c>
    </row>
    <row r="699" spans="1:19" x14ac:dyDescent="0.3">
      <c r="A699">
        <v>10698</v>
      </c>
      <c r="B699" s="1" t="s">
        <v>551</v>
      </c>
      <c r="C699" t="s">
        <v>443</v>
      </c>
      <c r="D699" t="s">
        <v>60</v>
      </c>
      <c r="E699" t="s">
        <v>61</v>
      </c>
      <c r="F699" t="s">
        <v>17</v>
      </c>
      <c r="G699" t="s">
        <v>75</v>
      </c>
      <c r="H699" t="s">
        <v>116</v>
      </c>
      <c r="I699">
        <v>8</v>
      </c>
      <c r="J699">
        <v>25500</v>
      </c>
      <c r="K699">
        <v>6195.63</v>
      </c>
      <c r="L699">
        <v>15</v>
      </c>
      <c r="M699" t="s">
        <v>49</v>
      </c>
      <c r="N699" t="str">
        <f>TEXT(Table1[[#This Row],[Order Date]],"MMMM")</f>
        <v>December</v>
      </c>
      <c r="O699">
        <f>YEAR(Table1[[#This Row],[Order Date]])</f>
        <v>2025</v>
      </c>
      <c r="P699" t="str">
        <f>"Q"&amp;ROUNDUP(MONTH(Table1[[#This Row],[Order Date]])/3,0)</f>
        <v>Q4</v>
      </c>
      <c r="Q699" s="3">
        <f>Table1[[#This Row],[Profit]]/Table1[[#This Row],[Sales]]</f>
        <v>0.24296588235294117</v>
      </c>
      <c r="R699" t="str">
        <f>IF(Table1[[#This Row],[Sales]]&lt;1000,"LOW",IF(Table1[[#This Row],[Sales]]&lt;5000,"MEDIUM","HIGH"))</f>
        <v>HIGH</v>
      </c>
      <c r="S699" s="2">
        <f>Table1[[#This Row],[Discount]]/100</f>
        <v>0.15</v>
      </c>
    </row>
    <row r="700" spans="1:19" x14ac:dyDescent="0.3">
      <c r="A700">
        <v>10699</v>
      </c>
      <c r="B700" s="1" t="s">
        <v>267</v>
      </c>
      <c r="C700" t="s">
        <v>238</v>
      </c>
      <c r="D700" t="s">
        <v>60</v>
      </c>
      <c r="E700" t="s">
        <v>61</v>
      </c>
      <c r="F700" t="s">
        <v>17</v>
      </c>
      <c r="G700" t="s">
        <v>43</v>
      </c>
      <c r="H700" t="s">
        <v>44</v>
      </c>
      <c r="I700">
        <v>4</v>
      </c>
      <c r="J700">
        <v>1268.2</v>
      </c>
      <c r="K700">
        <v>120.27</v>
      </c>
      <c r="L700">
        <v>15</v>
      </c>
      <c r="M700" t="s">
        <v>49</v>
      </c>
      <c r="N700" t="str">
        <f>TEXT(Table1[[#This Row],[Order Date]],"MMMM")</f>
        <v>December</v>
      </c>
      <c r="O700">
        <f>YEAR(Table1[[#This Row],[Order Date]])</f>
        <v>2025</v>
      </c>
      <c r="P700" t="str">
        <f>"Q"&amp;ROUNDUP(MONTH(Table1[[#This Row],[Order Date]])/3,0)</f>
        <v>Q4</v>
      </c>
      <c r="Q700" s="3">
        <f>Table1[[#This Row],[Profit]]/Table1[[#This Row],[Sales]]</f>
        <v>9.483519949534773E-2</v>
      </c>
      <c r="R700" t="str">
        <f>IF(Table1[[#This Row],[Sales]]&lt;1000,"LOW",IF(Table1[[#This Row],[Sales]]&lt;5000,"MEDIUM","HIGH"))</f>
        <v>MEDIUM</v>
      </c>
      <c r="S700" s="2">
        <f>Table1[[#This Row],[Discount]]/100</f>
        <v>0.15</v>
      </c>
    </row>
    <row r="701" spans="1:19" x14ac:dyDescent="0.3">
      <c r="A701">
        <v>10700</v>
      </c>
      <c r="B701" s="1" t="s">
        <v>41</v>
      </c>
      <c r="C701" t="s">
        <v>385</v>
      </c>
      <c r="D701" t="s">
        <v>52</v>
      </c>
      <c r="E701" t="s">
        <v>53</v>
      </c>
      <c r="F701" t="s">
        <v>25</v>
      </c>
      <c r="G701" t="s">
        <v>26</v>
      </c>
      <c r="H701" t="s">
        <v>48</v>
      </c>
      <c r="I701">
        <v>7</v>
      </c>
      <c r="J701">
        <v>14974.4</v>
      </c>
      <c r="K701">
        <v>4097.51</v>
      </c>
      <c r="L701">
        <v>20</v>
      </c>
      <c r="M701" t="s">
        <v>20</v>
      </c>
      <c r="N701" t="str">
        <f>TEXT(Table1[[#This Row],[Order Date]],"MMMM")</f>
        <v>April</v>
      </c>
      <c r="O701">
        <f>YEAR(Table1[[#This Row],[Order Date]])</f>
        <v>2025</v>
      </c>
      <c r="P701" t="str">
        <f>"Q"&amp;ROUNDUP(MONTH(Table1[[#This Row],[Order Date]])/3,0)</f>
        <v>Q2</v>
      </c>
      <c r="Q701" s="3">
        <f>Table1[[#This Row],[Profit]]/Table1[[#This Row],[Sales]]</f>
        <v>0.27363433593332626</v>
      </c>
      <c r="R701" t="str">
        <f>IF(Table1[[#This Row],[Sales]]&lt;1000,"LOW",IF(Table1[[#This Row],[Sales]]&lt;5000,"MEDIUM","HIGH"))</f>
        <v>HIGH</v>
      </c>
      <c r="S701" s="2">
        <f>Table1[[#This Row],[Discount]]/100</f>
        <v>0.2</v>
      </c>
    </row>
    <row r="702" spans="1:19" x14ac:dyDescent="0.3">
      <c r="A702">
        <v>10701</v>
      </c>
      <c r="B702" s="1" t="s">
        <v>240</v>
      </c>
      <c r="C702" t="s">
        <v>14</v>
      </c>
      <c r="D702" t="s">
        <v>74</v>
      </c>
      <c r="E702" t="s">
        <v>74</v>
      </c>
      <c r="F702" t="s">
        <v>25</v>
      </c>
      <c r="G702" t="s">
        <v>26</v>
      </c>
      <c r="H702" t="s">
        <v>27</v>
      </c>
      <c r="I702">
        <v>6</v>
      </c>
      <c r="J702">
        <v>11856</v>
      </c>
      <c r="K702">
        <v>2733.29</v>
      </c>
      <c r="L702">
        <v>0</v>
      </c>
      <c r="M702" t="s">
        <v>40</v>
      </c>
      <c r="N702" t="str">
        <f>TEXT(Table1[[#This Row],[Order Date]],"MMMM")</f>
        <v>November</v>
      </c>
      <c r="O702">
        <f>YEAR(Table1[[#This Row],[Order Date]])</f>
        <v>2025</v>
      </c>
      <c r="P702" t="str">
        <f>"Q"&amp;ROUNDUP(MONTH(Table1[[#This Row],[Order Date]])/3,0)</f>
        <v>Q4</v>
      </c>
      <c r="Q702" s="3">
        <f>Table1[[#This Row],[Profit]]/Table1[[#This Row],[Sales]]</f>
        <v>0.23054065452091768</v>
      </c>
      <c r="R702" t="str">
        <f>IF(Table1[[#This Row],[Sales]]&lt;1000,"LOW",IF(Table1[[#This Row],[Sales]]&lt;5000,"MEDIUM","HIGH"))</f>
        <v>HIGH</v>
      </c>
      <c r="S702" s="2">
        <f>Table1[[#This Row],[Discount]]/100</f>
        <v>0</v>
      </c>
    </row>
    <row r="703" spans="1:19" x14ac:dyDescent="0.3">
      <c r="A703">
        <v>10702</v>
      </c>
      <c r="B703" s="1" t="s">
        <v>256</v>
      </c>
      <c r="C703" t="s">
        <v>86</v>
      </c>
      <c r="D703" t="s">
        <v>60</v>
      </c>
      <c r="E703" t="s">
        <v>61</v>
      </c>
      <c r="F703" t="s">
        <v>17</v>
      </c>
      <c r="G703" t="s">
        <v>18</v>
      </c>
      <c r="H703" t="s">
        <v>19</v>
      </c>
      <c r="I703">
        <v>4</v>
      </c>
      <c r="J703">
        <v>13739.4</v>
      </c>
      <c r="K703">
        <v>3383.78</v>
      </c>
      <c r="L703">
        <v>15</v>
      </c>
      <c r="M703" t="s">
        <v>28</v>
      </c>
      <c r="N703" t="str">
        <f>TEXT(Table1[[#This Row],[Order Date]],"MMMM")</f>
        <v>January</v>
      </c>
      <c r="O703">
        <f>YEAR(Table1[[#This Row],[Order Date]])</f>
        <v>2025</v>
      </c>
      <c r="P703" t="str">
        <f>"Q"&amp;ROUNDUP(MONTH(Table1[[#This Row],[Order Date]])/3,0)</f>
        <v>Q1</v>
      </c>
      <c r="Q703" s="3">
        <f>Table1[[#This Row],[Profit]]/Table1[[#This Row],[Sales]]</f>
        <v>0.24628295267624498</v>
      </c>
      <c r="R703" t="str">
        <f>IF(Table1[[#This Row],[Sales]]&lt;1000,"LOW",IF(Table1[[#This Row],[Sales]]&lt;5000,"MEDIUM","HIGH"))</f>
        <v>HIGH</v>
      </c>
      <c r="S703" s="2">
        <f>Table1[[#This Row],[Discount]]/100</f>
        <v>0.15</v>
      </c>
    </row>
    <row r="704" spans="1:19" x14ac:dyDescent="0.3">
      <c r="A704">
        <v>10703</v>
      </c>
      <c r="B704" s="1" t="s">
        <v>458</v>
      </c>
      <c r="C704" t="s">
        <v>146</v>
      </c>
      <c r="D704" t="s">
        <v>23</v>
      </c>
      <c r="E704" t="s">
        <v>24</v>
      </c>
      <c r="F704" t="s">
        <v>25</v>
      </c>
      <c r="G704" t="s">
        <v>26</v>
      </c>
      <c r="H704" t="s">
        <v>27</v>
      </c>
      <c r="I704">
        <v>1</v>
      </c>
      <c r="J704">
        <v>1175</v>
      </c>
      <c r="K704">
        <v>107.12</v>
      </c>
      <c r="L704">
        <v>0</v>
      </c>
      <c r="M704" t="s">
        <v>40</v>
      </c>
      <c r="N704" t="str">
        <f>TEXT(Table1[[#This Row],[Order Date]],"MMMM")</f>
        <v>September</v>
      </c>
      <c r="O704">
        <f>YEAR(Table1[[#This Row],[Order Date]])</f>
        <v>2025</v>
      </c>
      <c r="P704" t="str">
        <f>"Q"&amp;ROUNDUP(MONTH(Table1[[#This Row],[Order Date]])/3,0)</f>
        <v>Q3</v>
      </c>
      <c r="Q704" s="3">
        <f>Table1[[#This Row],[Profit]]/Table1[[#This Row],[Sales]]</f>
        <v>9.1165957446808513E-2</v>
      </c>
      <c r="R704" t="str">
        <f>IF(Table1[[#This Row],[Sales]]&lt;1000,"LOW",IF(Table1[[#This Row],[Sales]]&lt;5000,"MEDIUM","HIGH"))</f>
        <v>MEDIUM</v>
      </c>
      <c r="S704" s="2">
        <f>Table1[[#This Row],[Discount]]/100</f>
        <v>0</v>
      </c>
    </row>
    <row r="705" spans="1:19" x14ac:dyDescent="0.3">
      <c r="A705">
        <v>10704</v>
      </c>
      <c r="B705" s="1" t="s">
        <v>41</v>
      </c>
      <c r="C705" t="s">
        <v>86</v>
      </c>
      <c r="D705" t="s">
        <v>56</v>
      </c>
      <c r="E705" t="s">
        <v>57</v>
      </c>
      <c r="F705" t="s">
        <v>25</v>
      </c>
      <c r="G705" t="s">
        <v>26</v>
      </c>
      <c r="H705" t="s">
        <v>48</v>
      </c>
      <c r="I705">
        <v>4</v>
      </c>
      <c r="J705">
        <v>4277.2</v>
      </c>
      <c r="K705">
        <v>494.42</v>
      </c>
      <c r="L705">
        <v>15</v>
      </c>
      <c r="M705" t="s">
        <v>20</v>
      </c>
      <c r="N705" t="str">
        <f>TEXT(Table1[[#This Row],[Order Date]],"MMMM")</f>
        <v>April</v>
      </c>
      <c r="O705">
        <f>YEAR(Table1[[#This Row],[Order Date]])</f>
        <v>2025</v>
      </c>
      <c r="P705" t="str">
        <f>"Q"&amp;ROUNDUP(MONTH(Table1[[#This Row],[Order Date]])/3,0)</f>
        <v>Q2</v>
      </c>
      <c r="Q705" s="3">
        <f>Table1[[#This Row],[Profit]]/Table1[[#This Row],[Sales]]</f>
        <v>0.11559431403722062</v>
      </c>
      <c r="R705" t="str">
        <f>IF(Table1[[#This Row],[Sales]]&lt;1000,"LOW",IF(Table1[[#This Row],[Sales]]&lt;5000,"MEDIUM","HIGH"))</f>
        <v>MEDIUM</v>
      </c>
      <c r="S705" s="2">
        <f>Table1[[#This Row],[Discount]]/100</f>
        <v>0.15</v>
      </c>
    </row>
    <row r="706" spans="1:19" x14ac:dyDescent="0.3">
      <c r="A706">
        <v>10705</v>
      </c>
      <c r="B706" s="1" t="s">
        <v>205</v>
      </c>
      <c r="C706" t="s">
        <v>295</v>
      </c>
      <c r="D706" t="s">
        <v>36</v>
      </c>
      <c r="E706" t="s">
        <v>37</v>
      </c>
      <c r="F706" t="s">
        <v>31</v>
      </c>
      <c r="G706" t="s">
        <v>32</v>
      </c>
      <c r="H706" t="s">
        <v>33</v>
      </c>
      <c r="I706">
        <v>5</v>
      </c>
      <c r="J706">
        <v>3150</v>
      </c>
      <c r="K706">
        <v>616.44000000000005</v>
      </c>
      <c r="L706">
        <v>0</v>
      </c>
      <c r="M706" t="s">
        <v>28</v>
      </c>
      <c r="N706" t="str">
        <f>TEXT(Table1[[#This Row],[Order Date]],"MMMM")</f>
        <v>March</v>
      </c>
      <c r="O706">
        <f>YEAR(Table1[[#This Row],[Order Date]])</f>
        <v>2025</v>
      </c>
      <c r="P706" t="str">
        <f>"Q"&amp;ROUNDUP(MONTH(Table1[[#This Row],[Order Date]])/3,0)</f>
        <v>Q1</v>
      </c>
      <c r="Q706" s="3">
        <f>Table1[[#This Row],[Profit]]/Table1[[#This Row],[Sales]]</f>
        <v>0.19569523809523812</v>
      </c>
      <c r="R706" t="str">
        <f>IF(Table1[[#This Row],[Sales]]&lt;1000,"LOW",IF(Table1[[#This Row],[Sales]]&lt;5000,"MEDIUM","HIGH"))</f>
        <v>MEDIUM</v>
      </c>
      <c r="S706" s="2">
        <f>Table1[[#This Row],[Discount]]/100</f>
        <v>0</v>
      </c>
    </row>
    <row r="707" spans="1:19" x14ac:dyDescent="0.3">
      <c r="A707">
        <v>10706</v>
      </c>
      <c r="B707" s="1" t="s">
        <v>209</v>
      </c>
      <c r="C707" t="s">
        <v>456</v>
      </c>
      <c r="D707" t="s">
        <v>74</v>
      </c>
      <c r="E707" t="s">
        <v>74</v>
      </c>
      <c r="F707" t="s">
        <v>31</v>
      </c>
      <c r="G707" t="s">
        <v>38</v>
      </c>
      <c r="H707" t="s">
        <v>39</v>
      </c>
      <c r="I707">
        <v>5</v>
      </c>
      <c r="J707">
        <v>8089.25</v>
      </c>
      <c r="K707">
        <v>883.79</v>
      </c>
      <c r="L707">
        <v>5</v>
      </c>
      <c r="M707" t="s">
        <v>20</v>
      </c>
      <c r="N707" t="str">
        <f>TEXT(Table1[[#This Row],[Order Date]],"MMMM")</f>
        <v>March</v>
      </c>
      <c r="O707">
        <f>YEAR(Table1[[#This Row],[Order Date]])</f>
        <v>2025</v>
      </c>
      <c r="P707" t="str">
        <f>"Q"&amp;ROUNDUP(MONTH(Table1[[#This Row],[Order Date]])/3,0)</f>
        <v>Q1</v>
      </c>
      <c r="Q707" s="3">
        <f>Table1[[#This Row],[Profit]]/Table1[[#This Row],[Sales]]</f>
        <v>0.10925487529746268</v>
      </c>
      <c r="R707" t="str">
        <f>IF(Table1[[#This Row],[Sales]]&lt;1000,"LOW",IF(Table1[[#This Row],[Sales]]&lt;5000,"MEDIUM","HIGH"))</f>
        <v>HIGH</v>
      </c>
      <c r="S707" s="2">
        <f>Table1[[#This Row],[Discount]]/100</f>
        <v>0.05</v>
      </c>
    </row>
    <row r="708" spans="1:19" x14ac:dyDescent="0.3">
      <c r="A708">
        <v>10707</v>
      </c>
      <c r="B708" s="1" t="s">
        <v>165</v>
      </c>
      <c r="C708" t="s">
        <v>464</v>
      </c>
      <c r="D708" t="s">
        <v>15</v>
      </c>
      <c r="E708" t="s">
        <v>16</v>
      </c>
      <c r="F708" t="s">
        <v>25</v>
      </c>
      <c r="G708" t="s">
        <v>26</v>
      </c>
      <c r="H708" t="s">
        <v>48</v>
      </c>
      <c r="I708">
        <v>2</v>
      </c>
      <c r="J708">
        <v>2017.6</v>
      </c>
      <c r="K708">
        <v>497.97</v>
      </c>
      <c r="L708">
        <v>20</v>
      </c>
      <c r="M708" t="s">
        <v>45</v>
      </c>
      <c r="N708" t="str">
        <f>TEXT(Table1[[#This Row],[Order Date]],"MMMM")</f>
        <v>January</v>
      </c>
      <c r="O708">
        <f>YEAR(Table1[[#This Row],[Order Date]])</f>
        <v>2025</v>
      </c>
      <c r="P708" t="str">
        <f>"Q"&amp;ROUNDUP(MONTH(Table1[[#This Row],[Order Date]])/3,0)</f>
        <v>Q1</v>
      </c>
      <c r="Q708" s="3">
        <f>Table1[[#This Row],[Profit]]/Table1[[#This Row],[Sales]]</f>
        <v>0.24681304520222047</v>
      </c>
      <c r="R708" t="str">
        <f>IF(Table1[[#This Row],[Sales]]&lt;1000,"LOW",IF(Table1[[#This Row],[Sales]]&lt;5000,"MEDIUM","HIGH"))</f>
        <v>MEDIUM</v>
      </c>
      <c r="S708" s="2">
        <f>Table1[[#This Row],[Discount]]/100</f>
        <v>0.2</v>
      </c>
    </row>
    <row r="709" spans="1:19" x14ac:dyDescent="0.3">
      <c r="A709">
        <v>10708</v>
      </c>
      <c r="B709" s="1" t="s">
        <v>102</v>
      </c>
      <c r="C709" t="s">
        <v>288</v>
      </c>
      <c r="D709" t="s">
        <v>36</v>
      </c>
      <c r="E709" t="s">
        <v>37</v>
      </c>
      <c r="F709" t="s">
        <v>31</v>
      </c>
      <c r="G709" t="s">
        <v>124</v>
      </c>
      <c r="H709" t="s">
        <v>125</v>
      </c>
      <c r="I709">
        <v>2</v>
      </c>
      <c r="J709">
        <v>5832.7</v>
      </c>
      <c r="K709">
        <v>1358.22</v>
      </c>
      <c r="L709">
        <v>15</v>
      </c>
      <c r="M709" t="s">
        <v>28</v>
      </c>
      <c r="N709" t="str">
        <f>TEXT(Table1[[#This Row],[Order Date]],"MMMM")</f>
        <v>December</v>
      </c>
      <c r="O709">
        <f>YEAR(Table1[[#This Row],[Order Date]])</f>
        <v>2025</v>
      </c>
      <c r="P709" t="str">
        <f>"Q"&amp;ROUNDUP(MONTH(Table1[[#This Row],[Order Date]])/3,0)</f>
        <v>Q4</v>
      </c>
      <c r="Q709" s="3">
        <f>Table1[[#This Row],[Profit]]/Table1[[#This Row],[Sales]]</f>
        <v>0.23286299655391157</v>
      </c>
      <c r="R709" t="str">
        <f>IF(Table1[[#This Row],[Sales]]&lt;1000,"LOW",IF(Table1[[#This Row],[Sales]]&lt;5000,"MEDIUM","HIGH"))</f>
        <v>HIGH</v>
      </c>
      <c r="S709" s="2">
        <f>Table1[[#This Row],[Discount]]/100</f>
        <v>0.15</v>
      </c>
    </row>
    <row r="710" spans="1:19" x14ac:dyDescent="0.3">
      <c r="A710">
        <v>10709</v>
      </c>
      <c r="B710" s="1" t="s">
        <v>245</v>
      </c>
      <c r="C710" t="s">
        <v>208</v>
      </c>
      <c r="D710" t="s">
        <v>60</v>
      </c>
      <c r="E710" t="s">
        <v>61</v>
      </c>
      <c r="F710" t="s">
        <v>25</v>
      </c>
      <c r="G710" t="s">
        <v>26</v>
      </c>
      <c r="H710" t="s">
        <v>48</v>
      </c>
      <c r="I710">
        <v>2</v>
      </c>
      <c r="J710">
        <v>1278.4000000000001</v>
      </c>
      <c r="K710">
        <v>260.92</v>
      </c>
      <c r="L710">
        <v>15</v>
      </c>
      <c r="M710" t="s">
        <v>40</v>
      </c>
      <c r="N710" t="str">
        <f>TEXT(Table1[[#This Row],[Order Date]],"MMMM")</f>
        <v>March</v>
      </c>
      <c r="O710">
        <f>YEAR(Table1[[#This Row],[Order Date]])</f>
        <v>2025</v>
      </c>
      <c r="P710" t="str">
        <f>"Q"&amp;ROUNDUP(MONTH(Table1[[#This Row],[Order Date]])/3,0)</f>
        <v>Q1</v>
      </c>
      <c r="Q710" s="3">
        <f>Table1[[#This Row],[Profit]]/Table1[[#This Row],[Sales]]</f>
        <v>0.20409887359199</v>
      </c>
      <c r="R710" t="str">
        <f>IF(Table1[[#This Row],[Sales]]&lt;1000,"LOW",IF(Table1[[#This Row],[Sales]]&lt;5000,"MEDIUM","HIGH"))</f>
        <v>MEDIUM</v>
      </c>
      <c r="S710" s="2">
        <f>Table1[[#This Row],[Discount]]/100</f>
        <v>0.15</v>
      </c>
    </row>
    <row r="711" spans="1:19" x14ac:dyDescent="0.3">
      <c r="A711">
        <v>10710</v>
      </c>
      <c r="B711" s="1" t="s">
        <v>523</v>
      </c>
      <c r="C711" t="s">
        <v>394</v>
      </c>
      <c r="D711" t="s">
        <v>60</v>
      </c>
      <c r="E711" t="s">
        <v>61</v>
      </c>
      <c r="F711" t="s">
        <v>17</v>
      </c>
      <c r="G711" t="s">
        <v>18</v>
      </c>
      <c r="H711" t="s">
        <v>19</v>
      </c>
      <c r="I711">
        <v>6</v>
      </c>
      <c r="J711">
        <v>13836</v>
      </c>
      <c r="K711">
        <v>1355.86</v>
      </c>
      <c r="L711">
        <v>0</v>
      </c>
      <c r="M711" t="s">
        <v>28</v>
      </c>
      <c r="N711" t="str">
        <f>TEXT(Table1[[#This Row],[Order Date]],"MMMM")</f>
        <v>October</v>
      </c>
      <c r="O711">
        <f>YEAR(Table1[[#This Row],[Order Date]])</f>
        <v>2025</v>
      </c>
      <c r="P711" t="str">
        <f>"Q"&amp;ROUNDUP(MONTH(Table1[[#This Row],[Order Date]])/3,0)</f>
        <v>Q4</v>
      </c>
      <c r="Q711" s="3">
        <f>Table1[[#This Row],[Profit]]/Table1[[#This Row],[Sales]]</f>
        <v>9.7995085284764374E-2</v>
      </c>
      <c r="R711" t="str">
        <f>IF(Table1[[#This Row],[Sales]]&lt;1000,"LOW",IF(Table1[[#This Row],[Sales]]&lt;5000,"MEDIUM","HIGH"))</f>
        <v>HIGH</v>
      </c>
      <c r="S711" s="2">
        <f>Table1[[#This Row],[Discount]]/100</f>
        <v>0</v>
      </c>
    </row>
    <row r="712" spans="1:19" x14ac:dyDescent="0.3">
      <c r="A712">
        <v>10711</v>
      </c>
      <c r="B712" s="1" t="s">
        <v>526</v>
      </c>
      <c r="C712" t="s">
        <v>552</v>
      </c>
      <c r="D712" t="s">
        <v>60</v>
      </c>
      <c r="E712" t="s">
        <v>61</v>
      </c>
      <c r="F712" t="s">
        <v>17</v>
      </c>
      <c r="G712" t="s">
        <v>18</v>
      </c>
      <c r="H712" t="s">
        <v>19</v>
      </c>
      <c r="I712">
        <v>8</v>
      </c>
      <c r="J712">
        <v>25644.799999999999</v>
      </c>
      <c r="K712">
        <v>6452.81</v>
      </c>
      <c r="L712">
        <v>20</v>
      </c>
      <c r="M712" t="s">
        <v>45</v>
      </c>
      <c r="N712" t="str">
        <f>TEXT(Table1[[#This Row],[Order Date]],"MMMM")</f>
        <v>February</v>
      </c>
      <c r="O712">
        <f>YEAR(Table1[[#This Row],[Order Date]])</f>
        <v>2025</v>
      </c>
      <c r="P712" t="str">
        <f>"Q"&amp;ROUNDUP(MONTH(Table1[[#This Row],[Order Date]])/3,0)</f>
        <v>Q1</v>
      </c>
      <c r="Q712" s="3">
        <f>Table1[[#This Row],[Profit]]/Table1[[#This Row],[Sales]]</f>
        <v>0.25162255116046922</v>
      </c>
      <c r="R712" t="str">
        <f>IF(Table1[[#This Row],[Sales]]&lt;1000,"LOW",IF(Table1[[#This Row],[Sales]]&lt;5000,"MEDIUM","HIGH"))</f>
        <v>HIGH</v>
      </c>
      <c r="S712" s="2">
        <f>Table1[[#This Row],[Discount]]/100</f>
        <v>0.2</v>
      </c>
    </row>
    <row r="713" spans="1:19" x14ac:dyDescent="0.3">
      <c r="A713">
        <v>10712</v>
      </c>
      <c r="B713" s="1" t="s">
        <v>120</v>
      </c>
      <c r="C713" t="s">
        <v>428</v>
      </c>
      <c r="D713" t="s">
        <v>66</v>
      </c>
      <c r="E713" t="s">
        <v>16</v>
      </c>
      <c r="F713" t="s">
        <v>17</v>
      </c>
      <c r="G713" t="s">
        <v>75</v>
      </c>
      <c r="H713" t="s">
        <v>116</v>
      </c>
      <c r="I713">
        <v>6</v>
      </c>
      <c r="J713">
        <v>19022.400000000001</v>
      </c>
      <c r="K713">
        <v>4292.3599999999997</v>
      </c>
      <c r="L713">
        <v>20</v>
      </c>
      <c r="M713" t="s">
        <v>49</v>
      </c>
      <c r="N713" t="str">
        <f>TEXT(Table1[[#This Row],[Order Date]],"MMMM")</f>
        <v>December</v>
      </c>
      <c r="O713">
        <f>YEAR(Table1[[#This Row],[Order Date]])</f>
        <v>2025</v>
      </c>
      <c r="P713" t="str">
        <f>"Q"&amp;ROUNDUP(MONTH(Table1[[#This Row],[Order Date]])/3,0)</f>
        <v>Q4</v>
      </c>
      <c r="Q713" s="3">
        <f>Table1[[#This Row],[Profit]]/Table1[[#This Row],[Sales]]</f>
        <v>0.22564765749852803</v>
      </c>
      <c r="R713" t="str">
        <f>IF(Table1[[#This Row],[Sales]]&lt;1000,"LOW",IF(Table1[[#This Row],[Sales]]&lt;5000,"MEDIUM","HIGH"))</f>
        <v>HIGH</v>
      </c>
      <c r="S713" s="2">
        <f>Table1[[#This Row],[Discount]]/100</f>
        <v>0.2</v>
      </c>
    </row>
    <row r="714" spans="1:19" x14ac:dyDescent="0.3">
      <c r="A714">
        <v>10713</v>
      </c>
      <c r="B714" s="1" t="s">
        <v>171</v>
      </c>
      <c r="C714" t="s">
        <v>281</v>
      </c>
      <c r="D714" t="s">
        <v>52</v>
      </c>
      <c r="E714" t="s">
        <v>53</v>
      </c>
      <c r="F714" t="s">
        <v>25</v>
      </c>
      <c r="G714" t="s">
        <v>95</v>
      </c>
      <c r="H714" t="s">
        <v>96</v>
      </c>
      <c r="I714">
        <v>7</v>
      </c>
      <c r="J714">
        <v>26393.85</v>
      </c>
      <c r="K714">
        <v>3969.33</v>
      </c>
      <c r="L714">
        <v>5</v>
      </c>
      <c r="M714" t="s">
        <v>40</v>
      </c>
      <c r="N714" t="str">
        <f>TEXT(Table1[[#This Row],[Order Date]],"MMMM")</f>
        <v>August</v>
      </c>
      <c r="O714">
        <f>YEAR(Table1[[#This Row],[Order Date]])</f>
        <v>2025</v>
      </c>
      <c r="P714" t="str">
        <f>"Q"&amp;ROUNDUP(MONTH(Table1[[#This Row],[Order Date]])/3,0)</f>
        <v>Q3</v>
      </c>
      <c r="Q714" s="3">
        <f>Table1[[#This Row],[Profit]]/Table1[[#This Row],[Sales]]</f>
        <v>0.1503884427622344</v>
      </c>
      <c r="R714" t="str">
        <f>IF(Table1[[#This Row],[Sales]]&lt;1000,"LOW",IF(Table1[[#This Row],[Sales]]&lt;5000,"MEDIUM","HIGH"))</f>
        <v>HIGH</v>
      </c>
      <c r="S714" s="2">
        <f>Table1[[#This Row],[Discount]]/100</f>
        <v>0.05</v>
      </c>
    </row>
    <row r="715" spans="1:19" x14ac:dyDescent="0.3">
      <c r="A715">
        <v>10714</v>
      </c>
      <c r="B715" s="1" t="s">
        <v>553</v>
      </c>
      <c r="C715" t="s">
        <v>118</v>
      </c>
      <c r="D715" t="s">
        <v>56</v>
      </c>
      <c r="E715" t="s">
        <v>57</v>
      </c>
      <c r="F715" t="s">
        <v>25</v>
      </c>
      <c r="G715" t="s">
        <v>26</v>
      </c>
      <c r="H715" t="s">
        <v>71</v>
      </c>
      <c r="I715">
        <v>2</v>
      </c>
      <c r="J715">
        <v>3196.8</v>
      </c>
      <c r="K715">
        <v>337.39</v>
      </c>
      <c r="L715">
        <v>10</v>
      </c>
      <c r="M715" t="s">
        <v>40</v>
      </c>
      <c r="N715" t="str">
        <f>TEXT(Table1[[#This Row],[Order Date]],"MMMM")</f>
        <v>June</v>
      </c>
      <c r="O715">
        <f>YEAR(Table1[[#This Row],[Order Date]])</f>
        <v>2025</v>
      </c>
      <c r="P715" t="str">
        <f>"Q"&amp;ROUNDUP(MONTH(Table1[[#This Row],[Order Date]])/3,0)</f>
        <v>Q2</v>
      </c>
      <c r="Q715" s="3">
        <f>Table1[[#This Row],[Profit]]/Table1[[#This Row],[Sales]]</f>
        <v>0.10553991491491491</v>
      </c>
      <c r="R715" t="str">
        <f>IF(Table1[[#This Row],[Sales]]&lt;1000,"LOW",IF(Table1[[#This Row],[Sales]]&lt;5000,"MEDIUM","HIGH"))</f>
        <v>MEDIUM</v>
      </c>
      <c r="S715" s="2">
        <f>Table1[[#This Row],[Discount]]/100</f>
        <v>0.1</v>
      </c>
    </row>
    <row r="716" spans="1:19" x14ac:dyDescent="0.3">
      <c r="A716">
        <v>10715</v>
      </c>
      <c r="B716" s="1" t="s">
        <v>371</v>
      </c>
      <c r="C716" t="s">
        <v>417</v>
      </c>
      <c r="D716" t="s">
        <v>66</v>
      </c>
      <c r="E716" t="s">
        <v>16</v>
      </c>
      <c r="F716" t="s">
        <v>25</v>
      </c>
      <c r="G716" t="s">
        <v>26</v>
      </c>
      <c r="H716" t="s">
        <v>48</v>
      </c>
      <c r="I716">
        <v>6</v>
      </c>
      <c r="J716">
        <v>10459.200000000001</v>
      </c>
      <c r="K716">
        <v>3104.33</v>
      </c>
      <c r="L716">
        <v>20</v>
      </c>
      <c r="M716" t="s">
        <v>28</v>
      </c>
      <c r="N716" t="str">
        <f>TEXT(Table1[[#This Row],[Order Date]],"MMMM")</f>
        <v>November</v>
      </c>
      <c r="O716">
        <f>YEAR(Table1[[#This Row],[Order Date]])</f>
        <v>2025</v>
      </c>
      <c r="P716" t="str">
        <f>"Q"&amp;ROUNDUP(MONTH(Table1[[#This Row],[Order Date]])/3,0)</f>
        <v>Q4</v>
      </c>
      <c r="Q716" s="3">
        <f>Table1[[#This Row],[Profit]]/Table1[[#This Row],[Sales]]</f>
        <v>0.29680377084289428</v>
      </c>
      <c r="R716" t="str">
        <f>IF(Table1[[#This Row],[Sales]]&lt;1000,"LOW",IF(Table1[[#This Row],[Sales]]&lt;5000,"MEDIUM","HIGH"))</f>
        <v>HIGH</v>
      </c>
      <c r="S716" s="2">
        <f>Table1[[#This Row],[Discount]]/100</f>
        <v>0.2</v>
      </c>
    </row>
    <row r="717" spans="1:19" x14ac:dyDescent="0.3">
      <c r="A717">
        <v>10716</v>
      </c>
      <c r="B717" s="1" t="s">
        <v>79</v>
      </c>
      <c r="C717" t="s">
        <v>241</v>
      </c>
      <c r="D717" t="s">
        <v>60</v>
      </c>
      <c r="E717" t="s">
        <v>61</v>
      </c>
      <c r="F717" t="s">
        <v>17</v>
      </c>
      <c r="G717" t="s">
        <v>75</v>
      </c>
      <c r="H717" t="s">
        <v>116</v>
      </c>
      <c r="I717">
        <v>8</v>
      </c>
      <c r="J717">
        <v>5939.2</v>
      </c>
      <c r="K717">
        <v>1383.44</v>
      </c>
      <c r="L717">
        <v>20</v>
      </c>
      <c r="M717" t="s">
        <v>28</v>
      </c>
      <c r="N717" t="str">
        <f>TEXT(Table1[[#This Row],[Order Date]],"MMMM")</f>
        <v>May</v>
      </c>
      <c r="O717">
        <f>YEAR(Table1[[#This Row],[Order Date]])</f>
        <v>2025</v>
      </c>
      <c r="P717" t="str">
        <f>"Q"&amp;ROUNDUP(MONTH(Table1[[#This Row],[Order Date]])/3,0)</f>
        <v>Q2</v>
      </c>
      <c r="Q717" s="3">
        <f>Table1[[#This Row],[Profit]]/Table1[[#This Row],[Sales]]</f>
        <v>0.23293372844827587</v>
      </c>
      <c r="R717" t="str">
        <f>IF(Table1[[#This Row],[Sales]]&lt;1000,"LOW",IF(Table1[[#This Row],[Sales]]&lt;5000,"MEDIUM","HIGH"))</f>
        <v>HIGH</v>
      </c>
      <c r="S717" s="2">
        <f>Table1[[#This Row],[Discount]]/100</f>
        <v>0.2</v>
      </c>
    </row>
    <row r="718" spans="1:19" x14ac:dyDescent="0.3">
      <c r="A718">
        <v>10717</v>
      </c>
      <c r="B718" s="1" t="s">
        <v>350</v>
      </c>
      <c r="C718" t="s">
        <v>311</v>
      </c>
      <c r="D718" t="s">
        <v>36</v>
      </c>
      <c r="E718" t="s">
        <v>37</v>
      </c>
      <c r="F718" t="s">
        <v>17</v>
      </c>
      <c r="G718" t="s">
        <v>75</v>
      </c>
      <c r="H718" t="s">
        <v>76</v>
      </c>
      <c r="I718">
        <v>3</v>
      </c>
      <c r="J718">
        <v>439.2</v>
      </c>
      <c r="K718">
        <v>46.1</v>
      </c>
      <c r="L718">
        <v>20</v>
      </c>
      <c r="M718" t="s">
        <v>49</v>
      </c>
      <c r="N718" t="str">
        <f>TEXT(Table1[[#This Row],[Order Date]],"MMMM")</f>
        <v>August</v>
      </c>
      <c r="O718">
        <f>YEAR(Table1[[#This Row],[Order Date]])</f>
        <v>2025</v>
      </c>
      <c r="P718" t="str">
        <f>"Q"&amp;ROUNDUP(MONTH(Table1[[#This Row],[Order Date]])/3,0)</f>
        <v>Q3</v>
      </c>
      <c r="Q718" s="3">
        <f>Table1[[#This Row],[Profit]]/Table1[[#This Row],[Sales]]</f>
        <v>0.10496357012750455</v>
      </c>
      <c r="R718" t="str">
        <f>IF(Table1[[#This Row],[Sales]]&lt;1000,"LOW",IF(Table1[[#This Row],[Sales]]&lt;5000,"MEDIUM","HIGH"))</f>
        <v>LOW</v>
      </c>
      <c r="S718" s="2">
        <f>Table1[[#This Row],[Discount]]/100</f>
        <v>0.2</v>
      </c>
    </row>
    <row r="719" spans="1:19" x14ac:dyDescent="0.3">
      <c r="A719">
        <v>10718</v>
      </c>
      <c r="B719" s="1" t="s">
        <v>399</v>
      </c>
      <c r="C719" t="s">
        <v>528</v>
      </c>
      <c r="D719" t="s">
        <v>56</v>
      </c>
      <c r="E719" t="s">
        <v>57</v>
      </c>
      <c r="F719" t="s">
        <v>25</v>
      </c>
      <c r="G719" t="s">
        <v>26</v>
      </c>
      <c r="H719" t="s">
        <v>27</v>
      </c>
      <c r="I719">
        <v>7</v>
      </c>
      <c r="J719">
        <v>26075.7</v>
      </c>
      <c r="K719">
        <v>6798.46</v>
      </c>
      <c r="L719">
        <v>10</v>
      </c>
      <c r="M719" t="s">
        <v>28</v>
      </c>
      <c r="N719" t="str">
        <f>TEXT(Table1[[#This Row],[Order Date]],"MMMM")</f>
        <v>February</v>
      </c>
      <c r="O719">
        <f>YEAR(Table1[[#This Row],[Order Date]])</f>
        <v>2025</v>
      </c>
      <c r="P719" t="str">
        <f>"Q"&amp;ROUNDUP(MONTH(Table1[[#This Row],[Order Date]])/3,0)</f>
        <v>Q1</v>
      </c>
      <c r="Q719" s="3">
        <f>Table1[[#This Row],[Profit]]/Table1[[#This Row],[Sales]]</f>
        <v>0.26072013407118505</v>
      </c>
      <c r="R719" t="str">
        <f>IF(Table1[[#This Row],[Sales]]&lt;1000,"LOW",IF(Table1[[#This Row],[Sales]]&lt;5000,"MEDIUM","HIGH"))</f>
        <v>HIGH</v>
      </c>
      <c r="S719" s="2">
        <f>Table1[[#This Row],[Discount]]/100</f>
        <v>0.1</v>
      </c>
    </row>
    <row r="720" spans="1:19" x14ac:dyDescent="0.3">
      <c r="A720">
        <v>10719</v>
      </c>
      <c r="B720" s="1" t="s">
        <v>554</v>
      </c>
      <c r="C720" t="s">
        <v>531</v>
      </c>
      <c r="D720" t="s">
        <v>36</v>
      </c>
      <c r="E720" t="s">
        <v>37</v>
      </c>
      <c r="F720" t="s">
        <v>25</v>
      </c>
      <c r="G720" t="s">
        <v>26</v>
      </c>
      <c r="H720" t="s">
        <v>71</v>
      </c>
      <c r="I720">
        <v>2</v>
      </c>
      <c r="J720">
        <v>4757.3999999999996</v>
      </c>
      <c r="K720">
        <v>1147.76</v>
      </c>
      <c r="L720">
        <v>10</v>
      </c>
      <c r="M720" t="s">
        <v>45</v>
      </c>
      <c r="N720" t="str">
        <f>TEXT(Table1[[#This Row],[Order Date]],"MMMM")</f>
        <v>June</v>
      </c>
      <c r="O720">
        <f>YEAR(Table1[[#This Row],[Order Date]])</f>
        <v>2025</v>
      </c>
      <c r="P720" t="str">
        <f>"Q"&amp;ROUNDUP(MONTH(Table1[[#This Row],[Order Date]])/3,0)</f>
        <v>Q2</v>
      </c>
      <c r="Q720" s="3">
        <f>Table1[[#This Row],[Profit]]/Table1[[#This Row],[Sales]]</f>
        <v>0.24125782990709213</v>
      </c>
      <c r="R720" t="str">
        <f>IF(Table1[[#This Row],[Sales]]&lt;1000,"LOW",IF(Table1[[#This Row],[Sales]]&lt;5000,"MEDIUM","HIGH"))</f>
        <v>MEDIUM</v>
      </c>
      <c r="S720" s="2">
        <f>Table1[[#This Row],[Discount]]/100</f>
        <v>0.1</v>
      </c>
    </row>
    <row r="721" spans="1:19" x14ac:dyDescent="0.3">
      <c r="A721">
        <v>10720</v>
      </c>
      <c r="B721" s="1" t="s">
        <v>72</v>
      </c>
      <c r="C721" t="s">
        <v>189</v>
      </c>
      <c r="D721" t="s">
        <v>66</v>
      </c>
      <c r="E721" t="s">
        <v>16</v>
      </c>
      <c r="F721" t="s">
        <v>25</v>
      </c>
      <c r="G721" t="s">
        <v>26</v>
      </c>
      <c r="H721" t="s">
        <v>71</v>
      </c>
      <c r="I721">
        <v>6</v>
      </c>
      <c r="J721">
        <v>15861</v>
      </c>
      <c r="K721">
        <v>2971.25</v>
      </c>
      <c r="L721">
        <v>15</v>
      </c>
      <c r="M721" t="s">
        <v>20</v>
      </c>
      <c r="N721" t="str">
        <f>TEXT(Table1[[#This Row],[Order Date]],"MMMM")</f>
        <v>March</v>
      </c>
      <c r="O721">
        <f>YEAR(Table1[[#This Row],[Order Date]])</f>
        <v>2025</v>
      </c>
      <c r="P721" t="str">
        <f>"Q"&amp;ROUNDUP(MONTH(Table1[[#This Row],[Order Date]])/3,0)</f>
        <v>Q1</v>
      </c>
      <c r="Q721" s="3">
        <f>Table1[[#This Row],[Profit]]/Table1[[#This Row],[Sales]]</f>
        <v>0.18733055923333963</v>
      </c>
      <c r="R721" t="str">
        <f>IF(Table1[[#This Row],[Sales]]&lt;1000,"LOW",IF(Table1[[#This Row],[Sales]]&lt;5000,"MEDIUM","HIGH"))</f>
        <v>HIGH</v>
      </c>
      <c r="S721" s="2">
        <f>Table1[[#This Row],[Discount]]/100</f>
        <v>0.15</v>
      </c>
    </row>
    <row r="722" spans="1:19" x14ac:dyDescent="0.3">
      <c r="A722">
        <v>10721</v>
      </c>
      <c r="B722" s="1" t="s">
        <v>336</v>
      </c>
      <c r="C722" t="s">
        <v>480</v>
      </c>
      <c r="D722" t="s">
        <v>74</v>
      </c>
      <c r="E722" t="s">
        <v>74</v>
      </c>
      <c r="F722" t="s">
        <v>31</v>
      </c>
      <c r="G722" t="s">
        <v>38</v>
      </c>
      <c r="H722" t="s">
        <v>39</v>
      </c>
      <c r="I722">
        <v>6</v>
      </c>
      <c r="J722">
        <v>6436.8</v>
      </c>
      <c r="K722">
        <v>1009.54</v>
      </c>
      <c r="L722">
        <v>10</v>
      </c>
      <c r="M722" t="s">
        <v>28</v>
      </c>
      <c r="N722" t="str">
        <f>TEXT(Table1[[#This Row],[Order Date]],"MMMM")</f>
        <v>February</v>
      </c>
      <c r="O722">
        <f>YEAR(Table1[[#This Row],[Order Date]])</f>
        <v>2025</v>
      </c>
      <c r="P722" t="str">
        <f>"Q"&amp;ROUNDUP(MONTH(Table1[[#This Row],[Order Date]])/3,0)</f>
        <v>Q1</v>
      </c>
      <c r="Q722" s="3">
        <f>Table1[[#This Row],[Profit]]/Table1[[#This Row],[Sales]]</f>
        <v>0.15683880188913746</v>
      </c>
      <c r="R722" t="str">
        <f>IF(Table1[[#This Row],[Sales]]&lt;1000,"LOW",IF(Table1[[#This Row],[Sales]]&lt;5000,"MEDIUM","HIGH"))</f>
        <v>HIGH</v>
      </c>
      <c r="S722" s="2">
        <f>Table1[[#This Row],[Discount]]/100</f>
        <v>0.1</v>
      </c>
    </row>
    <row r="723" spans="1:19" x14ac:dyDescent="0.3">
      <c r="A723">
        <v>10722</v>
      </c>
      <c r="B723" s="1" t="s">
        <v>264</v>
      </c>
      <c r="C723" t="s">
        <v>35</v>
      </c>
      <c r="D723" t="s">
        <v>52</v>
      </c>
      <c r="E723" t="s">
        <v>53</v>
      </c>
      <c r="F723" t="s">
        <v>31</v>
      </c>
      <c r="G723" t="s">
        <v>32</v>
      </c>
      <c r="H723" t="s">
        <v>33</v>
      </c>
      <c r="I723">
        <v>7</v>
      </c>
      <c r="J723">
        <v>26465.599999999999</v>
      </c>
      <c r="K723">
        <v>4587.4399999999996</v>
      </c>
      <c r="L723">
        <v>20</v>
      </c>
      <c r="M723" t="s">
        <v>20</v>
      </c>
      <c r="N723" t="str">
        <f>TEXT(Table1[[#This Row],[Order Date]],"MMMM")</f>
        <v>March</v>
      </c>
      <c r="O723">
        <f>YEAR(Table1[[#This Row],[Order Date]])</f>
        <v>2025</v>
      </c>
      <c r="P723" t="str">
        <f>"Q"&amp;ROUNDUP(MONTH(Table1[[#This Row],[Order Date]])/3,0)</f>
        <v>Q1</v>
      </c>
      <c r="Q723" s="3">
        <f>Table1[[#This Row],[Profit]]/Table1[[#This Row],[Sales]]</f>
        <v>0.17333595308627048</v>
      </c>
      <c r="R723" t="str">
        <f>IF(Table1[[#This Row],[Sales]]&lt;1000,"LOW",IF(Table1[[#This Row],[Sales]]&lt;5000,"MEDIUM","HIGH"))</f>
        <v>HIGH</v>
      </c>
      <c r="S723" s="2">
        <f>Table1[[#This Row],[Discount]]/100</f>
        <v>0.2</v>
      </c>
    </row>
    <row r="724" spans="1:19" x14ac:dyDescent="0.3">
      <c r="A724">
        <v>10723</v>
      </c>
      <c r="B724" s="1" t="s">
        <v>555</v>
      </c>
      <c r="C724" t="s">
        <v>342</v>
      </c>
      <c r="D724" t="s">
        <v>74</v>
      </c>
      <c r="E724" t="s">
        <v>74</v>
      </c>
      <c r="F724" t="s">
        <v>17</v>
      </c>
      <c r="G724" t="s">
        <v>43</v>
      </c>
      <c r="H724" t="s">
        <v>44</v>
      </c>
      <c r="I724">
        <v>4</v>
      </c>
      <c r="J724">
        <v>5446.8</v>
      </c>
      <c r="K724">
        <v>1530.41</v>
      </c>
      <c r="L724">
        <v>10</v>
      </c>
      <c r="M724" t="s">
        <v>28</v>
      </c>
      <c r="N724" t="str">
        <f>TEXT(Table1[[#This Row],[Order Date]],"MMMM")</f>
        <v>November</v>
      </c>
      <c r="O724">
        <f>YEAR(Table1[[#This Row],[Order Date]])</f>
        <v>2025</v>
      </c>
      <c r="P724" t="str">
        <f>"Q"&amp;ROUNDUP(MONTH(Table1[[#This Row],[Order Date]])/3,0)</f>
        <v>Q4</v>
      </c>
      <c r="Q724" s="3">
        <f>Table1[[#This Row],[Profit]]/Table1[[#This Row],[Sales]]</f>
        <v>0.28097414995960934</v>
      </c>
      <c r="R724" t="str">
        <f>IF(Table1[[#This Row],[Sales]]&lt;1000,"LOW",IF(Table1[[#This Row],[Sales]]&lt;5000,"MEDIUM","HIGH"))</f>
        <v>HIGH</v>
      </c>
      <c r="S724" s="2">
        <f>Table1[[#This Row],[Discount]]/100</f>
        <v>0.1</v>
      </c>
    </row>
    <row r="725" spans="1:19" x14ac:dyDescent="0.3">
      <c r="A725">
        <v>10724</v>
      </c>
      <c r="B725" s="1" t="s">
        <v>278</v>
      </c>
      <c r="C725" t="s">
        <v>51</v>
      </c>
      <c r="D725" t="s">
        <v>23</v>
      </c>
      <c r="E725" t="s">
        <v>24</v>
      </c>
      <c r="F725" t="s">
        <v>25</v>
      </c>
      <c r="G725" t="s">
        <v>26</v>
      </c>
      <c r="H725" t="s">
        <v>27</v>
      </c>
      <c r="I725">
        <v>7</v>
      </c>
      <c r="J725">
        <v>19117</v>
      </c>
      <c r="K725">
        <v>1909.49</v>
      </c>
      <c r="L725">
        <v>0</v>
      </c>
      <c r="M725" t="s">
        <v>20</v>
      </c>
      <c r="N725" t="str">
        <f>TEXT(Table1[[#This Row],[Order Date]],"MMMM")</f>
        <v>March</v>
      </c>
      <c r="O725">
        <f>YEAR(Table1[[#This Row],[Order Date]])</f>
        <v>2025</v>
      </c>
      <c r="P725" t="str">
        <f>"Q"&amp;ROUNDUP(MONTH(Table1[[#This Row],[Order Date]])/3,0)</f>
        <v>Q1</v>
      </c>
      <c r="Q725" s="3">
        <f>Table1[[#This Row],[Profit]]/Table1[[#This Row],[Sales]]</f>
        <v>9.9884396087252178E-2</v>
      </c>
      <c r="R725" t="str">
        <f>IF(Table1[[#This Row],[Sales]]&lt;1000,"LOW",IF(Table1[[#This Row],[Sales]]&lt;5000,"MEDIUM","HIGH"))</f>
        <v>HIGH</v>
      </c>
      <c r="S725" s="2">
        <f>Table1[[#This Row],[Discount]]/100</f>
        <v>0</v>
      </c>
    </row>
    <row r="726" spans="1:19" x14ac:dyDescent="0.3">
      <c r="A726">
        <v>10725</v>
      </c>
      <c r="B726" s="1" t="s">
        <v>134</v>
      </c>
      <c r="C726" t="s">
        <v>84</v>
      </c>
      <c r="D726" t="s">
        <v>23</v>
      </c>
      <c r="E726" t="s">
        <v>24</v>
      </c>
      <c r="F726" t="s">
        <v>31</v>
      </c>
      <c r="G726" t="s">
        <v>38</v>
      </c>
      <c r="H726" t="s">
        <v>39</v>
      </c>
      <c r="I726">
        <v>5</v>
      </c>
      <c r="J726">
        <v>10429.5</v>
      </c>
      <c r="K726">
        <v>2157.19</v>
      </c>
      <c r="L726">
        <v>15</v>
      </c>
      <c r="M726" t="s">
        <v>40</v>
      </c>
      <c r="N726" t="str">
        <f>TEXT(Table1[[#This Row],[Order Date]],"MMMM")</f>
        <v>July</v>
      </c>
      <c r="O726">
        <f>YEAR(Table1[[#This Row],[Order Date]])</f>
        <v>2025</v>
      </c>
      <c r="P726" t="str">
        <f>"Q"&amp;ROUNDUP(MONTH(Table1[[#This Row],[Order Date]])/3,0)</f>
        <v>Q3</v>
      </c>
      <c r="Q726" s="3">
        <f>Table1[[#This Row],[Profit]]/Table1[[#This Row],[Sales]]</f>
        <v>0.20683541876408265</v>
      </c>
      <c r="R726" t="str">
        <f>IF(Table1[[#This Row],[Sales]]&lt;1000,"LOW",IF(Table1[[#This Row],[Sales]]&lt;5000,"MEDIUM","HIGH"))</f>
        <v>HIGH</v>
      </c>
      <c r="S726" s="2">
        <f>Table1[[#This Row],[Discount]]/100</f>
        <v>0.15</v>
      </c>
    </row>
    <row r="727" spans="1:19" x14ac:dyDescent="0.3">
      <c r="A727">
        <v>10726</v>
      </c>
      <c r="B727" s="1" t="s">
        <v>245</v>
      </c>
      <c r="C727" t="s">
        <v>315</v>
      </c>
      <c r="D727" t="s">
        <v>66</v>
      </c>
      <c r="E727" t="s">
        <v>16</v>
      </c>
      <c r="F727" t="s">
        <v>25</v>
      </c>
      <c r="G727" t="s">
        <v>26</v>
      </c>
      <c r="H727" t="s">
        <v>27</v>
      </c>
      <c r="I727">
        <v>1</v>
      </c>
      <c r="J727">
        <v>3600.8</v>
      </c>
      <c r="K727">
        <v>838.16</v>
      </c>
      <c r="L727">
        <v>20</v>
      </c>
      <c r="M727" t="s">
        <v>45</v>
      </c>
      <c r="N727" t="str">
        <f>TEXT(Table1[[#This Row],[Order Date]],"MMMM")</f>
        <v>March</v>
      </c>
      <c r="O727">
        <f>YEAR(Table1[[#This Row],[Order Date]])</f>
        <v>2025</v>
      </c>
      <c r="P727" t="str">
        <f>"Q"&amp;ROUNDUP(MONTH(Table1[[#This Row],[Order Date]])/3,0)</f>
        <v>Q1</v>
      </c>
      <c r="Q727" s="3">
        <f>Table1[[#This Row],[Profit]]/Table1[[#This Row],[Sales]]</f>
        <v>0.23277049544545655</v>
      </c>
      <c r="R727" t="str">
        <f>IF(Table1[[#This Row],[Sales]]&lt;1000,"LOW",IF(Table1[[#This Row],[Sales]]&lt;5000,"MEDIUM","HIGH"))</f>
        <v>MEDIUM</v>
      </c>
      <c r="S727" s="2">
        <f>Table1[[#This Row],[Discount]]/100</f>
        <v>0.2</v>
      </c>
    </row>
    <row r="728" spans="1:19" x14ac:dyDescent="0.3">
      <c r="A728">
        <v>10727</v>
      </c>
      <c r="B728" s="1" t="s">
        <v>384</v>
      </c>
      <c r="C728" t="s">
        <v>231</v>
      </c>
      <c r="D728" t="s">
        <v>60</v>
      </c>
      <c r="E728" t="s">
        <v>61</v>
      </c>
      <c r="F728" t="s">
        <v>25</v>
      </c>
      <c r="G728" t="s">
        <v>26</v>
      </c>
      <c r="H728" t="s">
        <v>48</v>
      </c>
      <c r="I728">
        <v>2</v>
      </c>
      <c r="J728">
        <v>7355.2</v>
      </c>
      <c r="K728">
        <v>1975.65</v>
      </c>
      <c r="L728">
        <v>20</v>
      </c>
      <c r="M728" t="s">
        <v>49</v>
      </c>
      <c r="N728" t="str">
        <f>TEXT(Table1[[#This Row],[Order Date]],"MMMM")</f>
        <v>November</v>
      </c>
      <c r="O728">
        <f>YEAR(Table1[[#This Row],[Order Date]])</f>
        <v>2025</v>
      </c>
      <c r="P728" t="str">
        <f>"Q"&amp;ROUNDUP(MONTH(Table1[[#This Row],[Order Date]])/3,0)</f>
        <v>Q4</v>
      </c>
      <c r="Q728" s="3">
        <f>Table1[[#This Row],[Profit]]/Table1[[#This Row],[Sales]]</f>
        <v>0.26860588427235155</v>
      </c>
      <c r="R728" t="str">
        <f>IF(Table1[[#This Row],[Sales]]&lt;1000,"LOW",IF(Table1[[#This Row],[Sales]]&lt;5000,"MEDIUM","HIGH"))</f>
        <v>HIGH</v>
      </c>
      <c r="S728" s="2">
        <f>Table1[[#This Row],[Discount]]/100</f>
        <v>0.2</v>
      </c>
    </row>
    <row r="729" spans="1:19" x14ac:dyDescent="0.3">
      <c r="A729">
        <v>10728</v>
      </c>
      <c r="B729" s="1" t="s">
        <v>13</v>
      </c>
      <c r="C729" t="s">
        <v>479</v>
      </c>
      <c r="D729" t="s">
        <v>56</v>
      </c>
      <c r="E729" t="s">
        <v>57</v>
      </c>
      <c r="F729" t="s">
        <v>25</v>
      </c>
      <c r="G729" t="s">
        <v>26</v>
      </c>
      <c r="H729" t="s">
        <v>48</v>
      </c>
      <c r="I729">
        <v>2</v>
      </c>
      <c r="J729">
        <v>3838.6</v>
      </c>
      <c r="K729">
        <v>837.79</v>
      </c>
      <c r="L729">
        <v>15</v>
      </c>
      <c r="M729" t="s">
        <v>20</v>
      </c>
      <c r="N729" t="str">
        <f>TEXT(Table1[[#This Row],[Order Date]],"MMMM")</f>
        <v>January</v>
      </c>
      <c r="O729">
        <f>YEAR(Table1[[#This Row],[Order Date]])</f>
        <v>2025</v>
      </c>
      <c r="P729" t="str">
        <f>"Q"&amp;ROUNDUP(MONTH(Table1[[#This Row],[Order Date]])/3,0)</f>
        <v>Q1</v>
      </c>
      <c r="Q729" s="3">
        <f>Table1[[#This Row],[Profit]]/Table1[[#This Row],[Sales]]</f>
        <v>0.21825405095607772</v>
      </c>
      <c r="R729" t="str">
        <f>IF(Table1[[#This Row],[Sales]]&lt;1000,"LOW",IF(Table1[[#This Row],[Sales]]&lt;5000,"MEDIUM","HIGH"))</f>
        <v>MEDIUM</v>
      </c>
      <c r="S729" s="2">
        <f>Table1[[#This Row],[Discount]]/100</f>
        <v>0.15</v>
      </c>
    </row>
    <row r="730" spans="1:19" x14ac:dyDescent="0.3">
      <c r="A730">
        <v>10729</v>
      </c>
      <c r="B730" s="1" t="s">
        <v>138</v>
      </c>
      <c r="C730" t="s">
        <v>456</v>
      </c>
      <c r="D730" t="s">
        <v>36</v>
      </c>
      <c r="E730" t="s">
        <v>37</v>
      </c>
      <c r="F730" t="s">
        <v>17</v>
      </c>
      <c r="G730" t="s">
        <v>75</v>
      </c>
      <c r="H730" t="s">
        <v>116</v>
      </c>
      <c r="I730">
        <v>6</v>
      </c>
      <c r="J730">
        <v>6014.4</v>
      </c>
      <c r="K730">
        <v>750.81</v>
      </c>
      <c r="L730">
        <v>20</v>
      </c>
      <c r="M730" t="s">
        <v>45</v>
      </c>
      <c r="N730" t="str">
        <f>TEXT(Table1[[#This Row],[Order Date]],"MMMM")</f>
        <v>January</v>
      </c>
      <c r="O730">
        <f>YEAR(Table1[[#This Row],[Order Date]])</f>
        <v>2025</v>
      </c>
      <c r="P730" t="str">
        <f>"Q"&amp;ROUNDUP(MONTH(Table1[[#This Row],[Order Date]])/3,0)</f>
        <v>Q1</v>
      </c>
      <c r="Q730" s="3">
        <f>Table1[[#This Row],[Profit]]/Table1[[#This Row],[Sales]]</f>
        <v>0.12483539505187549</v>
      </c>
      <c r="R730" t="str">
        <f>IF(Table1[[#This Row],[Sales]]&lt;1000,"LOW",IF(Table1[[#This Row],[Sales]]&lt;5000,"MEDIUM","HIGH"))</f>
        <v>HIGH</v>
      </c>
      <c r="S730" s="2">
        <f>Table1[[#This Row],[Discount]]/100</f>
        <v>0.2</v>
      </c>
    </row>
    <row r="731" spans="1:19" x14ac:dyDescent="0.3">
      <c r="A731">
        <v>10730</v>
      </c>
      <c r="B731" s="1" t="s">
        <v>179</v>
      </c>
      <c r="C731" t="s">
        <v>343</v>
      </c>
      <c r="D731" t="s">
        <v>56</v>
      </c>
      <c r="E731" t="s">
        <v>57</v>
      </c>
      <c r="F731" t="s">
        <v>31</v>
      </c>
      <c r="G731" t="s">
        <v>32</v>
      </c>
      <c r="H731" t="s">
        <v>33</v>
      </c>
      <c r="I731">
        <v>3</v>
      </c>
      <c r="J731">
        <v>5493.6</v>
      </c>
      <c r="K731">
        <v>538.37</v>
      </c>
      <c r="L731">
        <v>20</v>
      </c>
      <c r="M731" t="s">
        <v>49</v>
      </c>
      <c r="N731" t="str">
        <f>TEXT(Table1[[#This Row],[Order Date]],"MMMM")</f>
        <v>November</v>
      </c>
      <c r="O731">
        <f>YEAR(Table1[[#This Row],[Order Date]])</f>
        <v>2025</v>
      </c>
      <c r="P731" t="str">
        <f>"Q"&amp;ROUNDUP(MONTH(Table1[[#This Row],[Order Date]])/3,0)</f>
        <v>Q4</v>
      </c>
      <c r="Q731" s="3">
        <f>Table1[[#This Row],[Profit]]/Table1[[#This Row],[Sales]]</f>
        <v>9.7999490316004079E-2</v>
      </c>
      <c r="R731" t="str">
        <f>IF(Table1[[#This Row],[Sales]]&lt;1000,"LOW",IF(Table1[[#This Row],[Sales]]&lt;5000,"MEDIUM","HIGH"))</f>
        <v>HIGH</v>
      </c>
      <c r="S731" s="2">
        <f>Table1[[#This Row],[Discount]]/100</f>
        <v>0.2</v>
      </c>
    </row>
    <row r="732" spans="1:19" x14ac:dyDescent="0.3">
      <c r="A732">
        <v>10731</v>
      </c>
      <c r="B732" s="1" t="s">
        <v>217</v>
      </c>
      <c r="C732" t="s">
        <v>556</v>
      </c>
      <c r="D732" t="s">
        <v>36</v>
      </c>
      <c r="E732" t="s">
        <v>37</v>
      </c>
      <c r="F732" t="s">
        <v>31</v>
      </c>
      <c r="G732" t="s">
        <v>124</v>
      </c>
      <c r="H732" t="s">
        <v>125</v>
      </c>
      <c r="I732">
        <v>7</v>
      </c>
      <c r="J732">
        <v>1052.8</v>
      </c>
      <c r="K732">
        <v>85.34</v>
      </c>
      <c r="L732">
        <v>20</v>
      </c>
      <c r="M732" t="s">
        <v>45</v>
      </c>
      <c r="N732" t="str">
        <f>TEXT(Table1[[#This Row],[Order Date]],"MMMM")</f>
        <v>April</v>
      </c>
      <c r="O732">
        <f>YEAR(Table1[[#This Row],[Order Date]])</f>
        <v>2025</v>
      </c>
      <c r="P732" t="str">
        <f>"Q"&amp;ROUNDUP(MONTH(Table1[[#This Row],[Order Date]])/3,0)</f>
        <v>Q2</v>
      </c>
      <c r="Q732" s="3">
        <f>Table1[[#This Row],[Profit]]/Table1[[#This Row],[Sales]]</f>
        <v>8.106003039513679E-2</v>
      </c>
      <c r="R732" t="str">
        <f>IF(Table1[[#This Row],[Sales]]&lt;1000,"LOW",IF(Table1[[#This Row],[Sales]]&lt;5000,"MEDIUM","HIGH"))</f>
        <v>MEDIUM</v>
      </c>
      <c r="S732" s="2">
        <f>Table1[[#This Row],[Discount]]/100</f>
        <v>0.2</v>
      </c>
    </row>
    <row r="733" spans="1:19" x14ac:dyDescent="0.3">
      <c r="A733">
        <v>10732</v>
      </c>
      <c r="B733" s="1" t="s">
        <v>274</v>
      </c>
      <c r="C733" t="s">
        <v>51</v>
      </c>
      <c r="D733" t="s">
        <v>36</v>
      </c>
      <c r="E733" t="s">
        <v>37</v>
      </c>
      <c r="F733" t="s">
        <v>25</v>
      </c>
      <c r="G733" t="s">
        <v>95</v>
      </c>
      <c r="H733" t="s">
        <v>96</v>
      </c>
      <c r="I733">
        <v>5</v>
      </c>
      <c r="J733">
        <v>3890.25</v>
      </c>
      <c r="K733">
        <v>1077.3399999999999</v>
      </c>
      <c r="L733">
        <v>5</v>
      </c>
      <c r="M733" t="s">
        <v>20</v>
      </c>
      <c r="N733" t="str">
        <f>TEXT(Table1[[#This Row],[Order Date]],"MMMM")</f>
        <v>May</v>
      </c>
      <c r="O733">
        <f>YEAR(Table1[[#This Row],[Order Date]])</f>
        <v>2025</v>
      </c>
      <c r="P733" t="str">
        <f>"Q"&amp;ROUNDUP(MONTH(Table1[[#This Row],[Order Date]])/3,0)</f>
        <v>Q2</v>
      </c>
      <c r="Q733" s="3">
        <f>Table1[[#This Row],[Profit]]/Table1[[#This Row],[Sales]]</f>
        <v>0.27693335903862215</v>
      </c>
      <c r="R733" t="str">
        <f>IF(Table1[[#This Row],[Sales]]&lt;1000,"LOW",IF(Table1[[#This Row],[Sales]]&lt;5000,"MEDIUM","HIGH"))</f>
        <v>MEDIUM</v>
      </c>
      <c r="S733" s="2">
        <f>Table1[[#This Row],[Discount]]/100</f>
        <v>0.05</v>
      </c>
    </row>
    <row r="734" spans="1:19" x14ac:dyDescent="0.3">
      <c r="A734">
        <v>10733</v>
      </c>
      <c r="B734" s="1" t="s">
        <v>395</v>
      </c>
      <c r="C734" t="s">
        <v>47</v>
      </c>
      <c r="D734" t="s">
        <v>60</v>
      </c>
      <c r="E734" t="s">
        <v>61</v>
      </c>
      <c r="F734" t="s">
        <v>31</v>
      </c>
      <c r="G734" t="s">
        <v>124</v>
      </c>
      <c r="H734" t="s">
        <v>125</v>
      </c>
      <c r="I734">
        <v>8</v>
      </c>
      <c r="J734">
        <v>8320</v>
      </c>
      <c r="K734">
        <v>1867.61</v>
      </c>
      <c r="L734">
        <v>20</v>
      </c>
      <c r="M734" t="s">
        <v>28</v>
      </c>
      <c r="N734" t="str">
        <f>TEXT(Table1[[#This Row],[Order Date]],"MMMM")</f>
        <v>June</v>
      </c>
      <c r="O734">
        <f>YEAR(Table1[[#This Row],[Order Date]])</f>
        <v>2025</v>
      </c>
      <c r="P734" t="str">
        <f>"Q"&amp;ROUNDUP(MONTH(Table1[[#This Row],[Order Date]])/3,0)</f>
        <v>Q2</v>
      </c>
      <c r="Q734" s="3">
        <f>Table1[[#This Row],[Profit]]/Table1[[#This Row],[Sales]]</f>
        <v>0.22447235576923075</v>
      </c>
      <c r="R734" t="str">
        <f>IF(Table1[[#This Row],[Sales]]&lt;1000,"LOW",IF(Table1[[#This Row],[Sales]]&lt;5000,"MEDIUM","HIGH"))</f>
        <v>HIGH</v>
      </c>
      <c r="S734" s="2">
        <f>Table1[[#This Row],[Discount]]/100</f>
        <v>0.2</v>
      </c>
    </row>
    <row r="735" spans="1:19" x14ac:dyDescent="0.3">
      <c r="A735">
        <v>10734</v>
      </c>
      <c r="B735" s="1" t="s">
        <v>463</v>
      </c>
      <c r="C735" t="s">
        <v>129</v>
      </c>
      <c r="D735" t="s">
        <v>60</v>
      </c>
      <c r="E735" t="s">
        <v>61</v>
      </c>
      <c r="F735" t="s">
        <v>25</v>
      </c>
      <c r="G735" t="s">
        <v>95</v>
      </c>
      <c r="H735" t="s">
        <v>96</v>
      </c>
      <c r="I735">
        <v>3</v>
      </c>
      <c r="J735">
        <v>7542.9</v>
      </c>
      <c r="K735">
        <v>1078.99</v>
      </c>
      <c r="L735">
        <v>15</v>
      </c>
      <c r="M735" t="s">
        <v>28</v>
      </c>
      <c r="N735" t="str">
        <f>TEXT(Table1[[#This Row],[Order Date]],"MMMM")</f>
        <v>February</v>
      </c>
      <c r="O735">
        <f>YEAR(Table1[[#This Row],[Order Date]])</f>
        <v>2025</v>
      </c>
      <c r="P735" t="str">
        <f>"Q"&amp;ROUNDUP(MONTH(Table1[[#This Row],[Order Date]])/3,0)</f>
        <v>Q1</v>
      </c>
      <c r="Q735" s="3">
        <f>Table1[[#This Row],[Profit]]/Table1[[#This Row],[Sales]]</f>
        <v>0.14304710389903089</v>
      </c>
      <c r="R735" t="str">
        <f>IF(Table1[[#This Row],[Sales]]&lt;1000,"LOW",IF(Table1[[#This Row],[Sales]]&lt;5000,"MEDIUM","HIGH"))</f>
        <v>HIGH</v>
      </c>
      <c r="S735" s="2">
        <f>Table1[[#This Row],[Discount]]/100</f>
        <v>0.15</v>
      </c>
    </row>
    <row r="736" spans="1:19" x14ac:dyDescent="0.3">
      <c r="A736">
        <v>10735</v>
      </c>
      <c r="B736" s="1" t="s">
        <v>354</v>
      </c>
      <c r="C736" t="s">
        <v>286</v>
      </c>
      <c r="D736" t="s">
        <v>23</v>
      </c>
      <c r="E736" t="s">
        <v>24</v>
      </c>
      <c r="F736" t="s">
        <v>25</v>
      </c>
      <c r="G736" t="s">
        <v>26</v>
      </c>
      <c r="H736" t="s">
        <v>48</v>
      </c>
      <c r="I736">
        <v>5</v>
      </c>
      <c r="J736">
        <v>10140</v>
      </c>
      <c r="K736">
        <v>1412.65</v>
      </c>
      <c r="L736">
        <v>0</v>
      </c>
      <c r="M736" t="s">
        <v>49</v>
      </c>
      <c r="N736" t="str">
        <f>TEXT(Table1[[#This Row],[Order Date]],"MMMM")</f>
        <v>February</v>
      </c>
      <c r="O736">
        <f>YEAR(Table1[[#This Row],[Order Date]])</f>
        <v>2025</v>
      </c>
      <c r="P736" t="str">
        <f>"Q"&amp;ROUNDUP(MONTH(Table1[[#This Row],[Order Date]])/3,0)</f>
        <v>Q1</v>
      </c>
      <c r="Q736" s="3">
        <f>Table1[[#This Row],[Profit]]/Table1[[#This Row],[Sales]]</f>
        <v>0.13931459566074952</v>
      </c>
      <c r="R736" t="str">
        <f>IF(Table1[[#This Row],[Sales]]&lt;1000,"LOW",IF(Table1[[#This Row],[Sales]]&lt;5000,"MEDIUM","HIGH"))</f>
        <v>HIGH</v>
      </c>
      <c r="S736" s="2">
        <f>Table1[[#This Row],[Discount]]/100</f>
        <v>0</v>
      </c>
    </row>
    <row r="737" spans="1:19" x14ac:dyDescent="0.3">
      <c r="A737">
        <v>10736</v>
      </c>
      <c r="B737" s="1" t="s">
        <v>439</v>
      </c>
      <c r="C737" t="s">
        <v>276</v>
      </c>
      <c r="D737" t="s">
        <v>60</v>
      </c>
      <c r="E737" t="s">
        <v>61</v>
      </c>
      <c r="F737" t="s">
        <v>17</v>
      </c>
      <c r="G737" t="s">
        <v>18</v>
      </c>
      <c r="H737" t="s">
        <v>19</v>
      </c>
      <c r="I737">
        <v>3</v>
      </c>
      <c r="J737">
        <v>405</v>
      </c>
      <c r="K737">
        <v>54.92</v>
      </c>
      <c r="L737">
        <v>0</v>
      </c>
      <c r="M737" t="s">
        <v>45</v>
      </c>
      <c r="N737" t="str">
        <f>TEXT(Table1[[#This Row],[Order Date]],"MMMM")</f>
        <v>January</v>
      </c>
      <c r="O737">
        <f>YEAR(Table1[[#This Row],[Order Date]])</f>
        <v>2025</v>
      </c>
      <c r="P737" t="str">
        <f>"Q"&amp;ROUNDUP(MONTH(Table1[[#This Row],[Order Date]])/3,0)</f>
        <v>Q1</v>
      </c>
      <c r="Q737" s="3">
        <f>Table1[[#This Row],[Profit]]/Table1[[#This Row],[Sales]]</f>
        <v>0.13560493827160494</v>
      </c>
      <c r="R737" t="str">
        <f>IF(Table1[[#This Row],[Sales]]&lt;1000,"LOW",IF(Table1[[#This Row],[Sales]]&lt;5000,"MEDIUM","HIGH"))</f>
        <v>LOW</v>
      </c>
      <c r="S737" s="2">
        <f>Table1[[#This Row],[Discount]]/100</f>
        <v>0</v>
      </c>
    </row>
    <row r="738" spans="1:19" x14ac:dyDescent="0.3">
      <c r="A738">
        <v>10737</v>
      </c>
      <c r="B738" s="1" t="s">
        <v>540</v>
      </c>
      <c r="C738" t="s">
        <v>304</v>
      </c>
      <c r="D738" t="s">
        <v>36</v>
      </c>
      <c r="E738" t="s">
        <v>37</v>
      </c>
      <c r="F738" t="s">
        <v>31</v>
      </c>
      <c r="G738" t="s">
        <v>124</v>
      </c>
      <c r="H738" t="s">
        <v>125</v>
      </c>
      <c r="I738">
        <v>3</v>
      </c>
      <c r="J738">
        <v>9538.9500000000007</v>
      </c>
      <c r="K738">
        <v>2546.1799999999998</v>
      </c>
      <c r="L738">
        <v>5</v>
      </c>
      <c r="M738" t="s">
        <v>40</v>
      </c>
      <c r="N738" t="str">
        <f>TEXT(Table1[[#This Row],[Order Date]],"MMMM")</f>
        <v>May</v>
      </c>
      <c r="O738">
        <f>YEAR(Table1[[#This Row],[Order Date]])</f>
        <v>2025</v>
      </c>
      <c r="P738" t="str">
        <f>"Q"&amp;ROUNDUP(MONTH(Table1[[#This Row],[Order Date]])/3,0)</f>
        <v>Q2</v>
      </c>
      <c r="Q738" s="3">
        <f>Table1[[#This Row],[Profit]]/Table1[[#This Row],[Sales]]</f>
        <v>0.2669245566860084</v>
      </c>
      <c r="R738" t="str">
        <f>IF(Table1[[#This Row],[Sales]]&lt;1000,"LOW",IF(Table1[[#This Row],[Sales]]&lt;5000,"MEDIUM","HIGH"))</f>
        <v>HIGH</v>
      </c>
      <c r="S738" s="2">
        <f>Table1[[#This Row],[Discount]]/100</f>
        <v>0.05</v>
      </c>
    </row>
    <row r="739" spans="1:19" x14ac:dyDescent="0.3">
      <c r="A739">
        <v>10738</v>
      </c>
      <c r="B739" s="1" t="s">
        <v>153</v>
      </c>
      <c r="C739" t="s">
        <v>80</v>
      </c>
      <c r="D739" t="s">
        <v>15</v>
      </c>
      <c r="E739" t="s">
        <v>16</v>
      </c>
      <c r="F739" t="s">
        <v>17</v>
      </c>
      <c r="G739" t="s">
        <v>43</v>
      </c>
      <c r="H739" t="s">
        <v>44</v>
      </c>
      <c r="I739">
        <v>6</v>
      </c>
      <c r="J739">
        <v>14147.4</v>
      </c>
      <c r="K739">
        <v>2627.76</v>
      </c>
      <c r="L739">
        <v>5</v>
      </c>
      <c r="M739" t="s">
        <v>45</v>
      </c>
      <c r="N739" t="str">
        <f>TEXT(Table1[[#This Row],[Order Date]],"MMMM")</f>
        <v>August</v>
      </c>
      <c r="O739">
        <f>YEAR(Table1[[#This Row],[Order Date]])</f>
        <v>2025</v>
      </c>
      <c r="P739" t="str">
        <f>"Q"&amp;ROUNDUP(MONTH(Table1[[#This Row],[Order Date]])/3,0)</f>
        <v>Q3</v>
      </c>
      <c r="Q739" s="3">
        <f>Table1[[#This Row],[Profit]]/Table1[[#This Row],[Sales]]</f>
        <v>0.18574154968404091</v>
      </c>
      <c r="R739" t="str">
        <f>IF(Table1[[#This Row],[Sales]]&lt;1000,"LOW",IF(Table1[[#This Row],[Sales]]&lt;5000,"MEDIUM","HIGH"))</f>
        <v>HIGH</v>
      </c>
      <c r="S739" s="2">
        <f>Table1[[#This Row],[Discount]]/100</f>
        <v>0.05</v>
      </c>
    </row>
    <row r="740" spans="1:19" x14ac:dyDescent="0.3">
      <c r="A740">
        <v>10739</v>
      </c>
      <c r="B740" s="1" t="s">
        <v>164</v>
      </c>
      <c r="C740" t="s">
        <v>238</v>
      </c>
      <c r="D740" t="s">
        <v>66</v>
      </c>
      <c r="E740" t="s">
        <v>16</v>
      </c>
      <c r="F740" t="s">
        <v>31</v>
      </c>
      <c r="G740" t="s">
        <v>32</v>
      </c>
      <c r="H740" t="s">
        <v>33</v>
      </c>
      <c r="I740">
        <v>5</v>
      </c>
      <c r="J740">
        <v>2047.25</v>
      </c>
      <c r="K740">
        <v>251.6</v>
      </c>
      <c r="L740">
        <v>5</v>
      </c>
      <c r="M740" t="s">
        <v>28</v>
      </c>
      <c r="N740" t="str">
        <f>TEXT(Table1[[#This Row],[Order Date]],"MMMM")</f>
        <v>October</v>
      </c>
      <c r="O740">
        <f>YEAR(Table1[[#This Row],[Order Date]])</f>
        <v>2025</v>
      </c>
      <c r="P740" t="str">
        <f>"Q"&amp;ROUNDUP(MONTH(Table1[[#This Row],[Order Date]])/3,0)</f>
        <v>Q4</v>
      </c>
      <c r="Q740" s="3">
        <f>Table1[[#This Row],[Profit]]/Table1[[#This Row],[Sales]]</f>
        <v>0.12289656856759067</v>
      </c>
      <c r="R740" t="str">
        <f>IF(Table1[[#This Row],[Sales]]&lt;1000,"LOW",IF(Table1[[#This Row],[Sales]]&lt;5000,"MEDIUM","HIGH"))</f>
        <v>MEDIUM</v>
      </c>
      <c r="S740" s="2">
        <f>Table1[[#This Row],[Discount]]/100</f>
        <v>0.05</v>
      </c>
    </row>
    <row r="741" spans="1:19" x14ac:dyDescent="0.3">
      <c r="A741">
        <v>10740</v>
      </c>
      <c r="B741" s="1" t="s">
        <v>153</v>
      </c>
      <c r="C741" t="s">
        <v>377</v>
      </c>
      <c r="D741" t="s">
        <v>15</v>
      </c>
      <c r="E741" t="s">
        <v>16</v>
      </c>
      <c r="F741" t="s">
        <v>31</v>
      </c>
      <c r="G741" t="s">
        <v>32</v>
      </c>
      <c r="H741" t="s">
        <v>33</v>
      </c>
      <c r="I741">
        <v>4</v>
      </c>
      <c r="J741">
        <v>10470.4</v>
      </c>
      <c r="K741">
        <v>866.44</v>
      </c>
      <c r="L741">
        <v>20</v>
      </c>
      <c r="M741" t="s">
        <v>28</v>
      </c>
      <c r="N741" t="str">
        <f>TEXT(Table1[[#This Row],[Order Date]],"MMMM")</f>
        <v>August</v>
      </c>
      <c r="O741">
        <f>YEAR(Table1[[#This Row],[Order Date]])</f>
        <v>2025</v>
      </c>
      <c r="P741" t="str">
        <f>"Q"&amp;ROUNDUP(MONTH(Table1[[#This Row],[Order Date]])/3,0)</f>
        <v>Q3</v>
      </c>
      <c r="Q741" s="3">
        <f>Table1[[#This Row],[Profit]]/Table1[[#This Row],[Sales]]</f>
        <v>8.2751375305623487E-2</v>
      </c>
      <c r="R741" t="str">
        <f>IF(Table1[[#This Row],[Sales]]&lt;1000,"LOW",IF(Table1[[#This Row],[Sales]]&lt;5000,"MEDIUM","HIGH"))</f>
        <v>HIGH</v>
      </c>
      <c r="S741" s="2">
        <f>Table1[[#This Row],[Discount]]/100</f>
        <v>0.2</v>
      </c>
    </row>
    <row r="742" spans="1:19" x14ac:dyDescent="0.3">
      <c r="A742">
        <v>10741</v>
      </c>
      <c r="B742" s="1" t="s">
        <v>256</v>
      </c>
      <c r="C742" t="s">
        <v>111</v>
      </c>
      <c r="D742" t="s">
        <v>60</v>
      </c>
      <c r="E742" t="s">
        <v>61</v>
      </c>
      <c r="F742" t="s">
        <v>25</v>
      </c>
      <c r="G742" t="s">
        <v>26</v>
      </c>
      <c r="H742" t="s">
        <v>27</v>
      </c>
      <c r="I742">
        <v>2</v>
      </c>
      <c r="J742">
        <v>520</v>
      </c>
      <c r="K742">
        <v>51.59</v>
      </c>
      <c r="L742">
        <v>0</v>
      </c>
      <c r="M742" t="s">
        <v>28</v>
      </c>
      <c r="N742" t="str">
        <f>TEXT(Table1[[#This Row],[Order Date]],"MMMM")</f>
        <v>January</v>
      </c>
      <c r="O742">
        <f>YEAR(Table1[[#This Row],[Order Date]])</f>
        <v>2025</v>
      </c>
      <c r="P742" t="str">
        <f>"Q"&amp;ROUNDUP(MONTH(Table1[[#This Row],[Order Date]])/3,0)</f>
        <v>Q1</v>
      </c>
      <c r="Q742" s="3">
        <f>Table1[[#This Row],[Profit]]/Table1[[#This Row],[Sales]]</f>
        <v>9.9211538461538462E-2</v>
      </c>
      <c r="R742" t="str">
        <f>IF(Table1[[#This Row],[Sales]]&lt;1000,"LOW",IF(Table1[[#This Row],[Sales]]&lt;5000,"MEDIUM","HIGH"))</f>
        <v>LOW</v>
      </c>
      <c r="S742" s="2">
        <f>Table1[[#This Row],[Discount]]/100</f>
        <v>0</v>
      </c>
    </row>
    <row r="743" spans="1:19" x14ac:dyDescent="0.3">
      <c r="A743">
        <v>10742</v>
      </c>
      <c r="B743" s="1" t="s">
        <v>557</v>
      </c>
      <c r="C743" t="s">
        <v>283</v>
      </c>
      <c r="D743" t="s">
        <v>52</v>
      </c>
      <c r="E743" t="s">
        <v>53</v>
      </c>
      <c r="F743" t="s">
        <v>31</v>
      </c>
      <c r="G743" t="s">
        <v>124</v>
      </c>
      <c r="H743" t="s">
        <v>125</v>
      </c>
      <c r="I743">
        <v>7</v>
      </c>
      <c r="J743">
        <v>30576.7</v>
      </c>
      <c r="K743">
        <v>8870.25</v>
      </c>
      <c r="L743">
        <v>5</v>
      </c>
      <c r="M743" t="s">
        <v>45</v>
      </c>
      <c r="N743" t="str">
        <f>TEXT(Table1[[#This Row],[Order Date]],"MMMM")</f>
        <v>October</v>
      </c>
      <c r="O743">
        <f>YEAR(Table1[[#This Row],[Order Date]])</f>
        <v>2025</v>
      </c>
      <c r="P743" t="str">
        <f>"Q"&amp;ROUNDUP(MONTH(Table1[[#This Row],[Order Date]])/3,0)</f>
        <v>Q4</v>
      </c>
      <c r="Q743" s="3">
        <f>Table1[[#This Row],[Profit]]/Table1[[#This Row],[Sales]]</f>
        <v>0.29009834285583469</v>
      </c>
      <c r="R743" t="str">
        <f>IF(Table1[[#This Row],[Sales]]&lt;1000,"LOW",IF(Table1[[#This Row],[Sales]]&lt;5000,"MEDIUM","HIGH"))</f>
        <v>HIGH</v>
      </c>
      <c r="S743" s="2">
        <f>Table1[[#This Row],[Discount]]/100</f>
        <v>0.05</v>
      </c>
    </row>
    <row r="744" spans="1:19" x14ac:dyDescent="0.3">
      <c r="A744">
        <v>10743</v>
      </c>
      <c r="B744" s="1" t="s">
        <v>477</v>
      </c>
      <c r="C744" t="s">
        <v>304</v>
      </c>
      <c r="D744" t="s">
        <v>56</v>
      </c>
      <c r="E744" t="s">
        <v>57</v>
      </c>
      <c r="F744" t="s">
        <v>17</v>
      </c>
      <c r="G744" t="s">
        <v>43</v>
      </c>
      <c r="H744" t="s">
        <v>44</v>
      </c>
      <c r="I744">
        <v>3</v>
      </c>
      <c r="J744">
        <v>1899.75</v>
      </c>
      <c r="K744">
        <v>329.4</v>
      </c>
      <c r="L744">
        <v>15</v>
      </c>
      <c r="M744" t="s">
        <v>20</v>
      </c>
      <c r="N744" t="str">
        <f>TEXT(Table1[[#This Row],[Order Date]],"MMMM")</f>
        <v>September</v>
      </c>
      <c r="O744">
        <f>YEAR(Table1[[#This Row],[Order Date]])</f>
        <v>2025</v>
      </c>
      <c r="P744" t="str">
        <f>"Q"&amp;ROUNDUP(MONTH(Table1[[#This Row],[Order Date]])/3,0)</f>
        <v>Q3</v>
      </c>
      <c r="Q744" s="3">
        <f>Table1[[#This Row],[Profit]]/Table1[[#This Row],[Sales]]</f>
        <v>0.17339123568890644</v>
      </c>
      <c r="R744" t="str">
        <f>IF(Table1[[#This Row],[Sales]]&lt;1000,"LOW",IF(Table1[[#This Row],[Sales]]&lt;5000,"MEDIUM","HIGH"))</f>
        <v>MEDIUM</v>
      </c>
      <c r="S744" s="2">
        <f>Table1[[#This Row],[Discount]]/100</f>
        <v>0.15</v>
      </c>
    </row>
    <row r="745" spans="1:19" x14ac:dyDescent="0.3">
      <c r="A745">
        <v>10744</v>
      </c>
      <c r="B745" s="1" t="s">
        <v>487</v>
      </c>
      <c r="C745" t="s">
        <v>169</v>
      </c>
      <c r="D745" t="s">
        <v>36</v>
      </c>
      <c r="E745" t="s">
        <v>37</v>
      </c>
      <c r="F745" t="s">
        <v>25</v>
      </c>
      <c r="G745" t="s">
        <v>95</v>
      </c>
      <c r="H745" t="s">
        <v>96</v>
      </c>
      <c r="I745">
        <v>8</v>
      </c>
      <c r="J745">
        <v>33250</v>
      </c>
      <c r="K745">
        <v>3030.22</v>
      </c>
      <c r="L745">
        <v>5</v>
      </c>
      <c r="M745" t="s">
        <v>28</v>
      </c>
      <c r="N745" t="str">
        <f>TEXT(Table1[[#This Row],[Order Date]],"MMMM")</f>
        <v>May</v>
      </c>
      <c r="O745">
        <f>YEAR(Table1[[#This Row],[Order Date]])</f>
        <v>2025</v>
      </c>
      <c r="P745" t="str">
        <f>"Q"&amp;ROUNDUP(MONTH(Table1[[#This Row],[Order Date]])/3,0)</f>
        <v>Q2</v>
      </c>
      <c r="Q745" s="3">
        <f>Table1[[#This Row],[Profit]]/Table1[[#This Row],[Sales]]</f>
        <v>9.1134436090225562E-2</v>
      </c>
      <c r="R745" t="str">
        <f>IF(Table1[[#This Row],[Sales]]&lt;1000,"LOW",IF(Table1[[#This Row],[Sales]]&lt;5000,"MEDIUM","HIGH"))</f>
        <v>HIGH</v>
      </c>
      <c r="S745" s="2">
        <f>Table1[[#This Row],[Discount]]/100</f>
        <v>0.05</v>
      </c>
    </row>
    <row r="746" spans="1:19" x14ac:dyDescent="0.3">
      <c r="A746">
        <v>10745</v>
      </c>
      <c r="B746" s="1" t="s">
        <v>106</v>
      </c>
      <c r="C746" t="s">
        <v>275</v>
      </c>
      <c r="D746" t="s">
        <v>15</v>
      </c>
      <c r="E746" t="s">
        <v>16</v>
      </c>
      <c r="F746" t="s">
        <v>31</v>
      </c>
      <c r="G746" t="s">
        <v>38</v>
      </c>
      <c r="H746" t="s">
        <v>39</v>
      </c>
      <c r="I746">
        <v>7</v>
      </c>
      <c r="J746">
        <v>23083.200000000001</v>
      </c>
      <c r="K746">
        <v>6272.04</v>
      </c>
      <c r="L746">
        <v>20</v>
      </c>
      <c r="M746" t="s">
        <v>20</v>
      </c>
      <c r="N746" t="str">
        <f>TEXT(Table1[[#This Row],[Order Date]],"MMMM")</f>
        <v>September</v>
      </c>
      <c r="O746">
        <f>YEAR(Table1[[#This Row],[Order Date]])</f>
        <v>2025</v>
      </c>
      <c r="P746" t="str">
        <f>"Q"&amp;ROUNDUP(MONTH(Table1[[#This Row],[Order Date]])/3,0)</f>
        <v>Q3</v>
      </c>
      <c r="Q746" s="3">
        <f>Table1[[#This Row],[Profit]]/Table1[[#This Row],[Sales]]</f>
        <v>0.2717144936577251</v>
      </c>
      <c r="R746" t="str">
        <f>IF(Table1[[#This Row],[Sales]]&lt;1000,"LOW",IF(Table1[[#This Row],[Sales]]&lt;5000,"MEDIUM","HIGH"))</f>
        <v>HIGH</v>
      </c>
      <c r="S746" s="2">
        <f>Table1[[#This Row],[Discount]]/100</f>
        <v>0.2</v>
      </c>
    </row>
    <row r="747" spans="1:19" x14ac:dyDescent="0.3">
      <c r="A747">
        <v>10746</v>
      </c>
      <c r="B747" s="1" t="s">
        <v>173</v>
      </c>
      <c r="C747" t="s">
        <v>291</v>
      </c>
      <c r="D747" t="s">
        <v>66</v>
      </c>
      <c r="E747" t="s">
        <v>16</v>
      </c>
      <c r="F747" t="s">
        <v>31</v>
      </c>
      <c r="G747" t="s">
        <v>32</v>
      </c>
      <c r="H747" t="s">
        <v>33</v>
      </c>
      <c r="I747">
        <v>8</v>
      </c>
      <c r="J747">
        <v>27576</v>
      </c>
      <c r="K747">
        <v>5855.99</v>
      </c>
      <c r="L747">
        <v>10</v>
      </c>
      <c r="M747" t="s">
        <v>45</v>
      </c>
      <c r="N747" t="str">
        <f>TEXT(Table1[[#This Row],[Order Date]],"MMMM")</f>
        <v>August</v>
      </c>
      <c r="O747">
        <f>YEAR(Table1[[#This Row],[Order Date]])</f>
        <v>2025</v>
      </c>
      <c r="P747" t="str">
        <f>"Q"&amp;ROUNDUP(MONTH(Table1[[#This Row],[Order Date]])/3,0)</f>
        <v>Q3</v>
      </c>
      <c r="Q747" s="3">
        <f>Table1[[#This Row],[Profit]]/Table1[[#This Row],[Sales]]</f>
        <v>0.21235821003771393</v>
      </c>
      <c r="R747" t="str">
        <f>IF(Table1[[#This Row],[Sales]]&lt;1000,"LOW",IF(Table1[[#This Row],[Sales]]&lt;5000,"MEDIUM","HIGH"))</f>
        <v>HIGH</v>
      </c>
      <c r="S747" s="2">
        <f>Table1[[#This Row],[Discount]]/100</f>
        <v>0.1</v>
      </c>
    </row>
    <row r="748" spans="1:19" x14ac:dyDescent="0.3">
      <c r="A748">
        <v>10747</v>
      </c>
      <c r="B748" s="1" t="s">
        <v>140</v>
      </c>
      <c r="C748" t="s">
        <v>394</v>
      </c>
      <c r="D748" t="s">
        <v>15</v>
      </c>
      <c r="E748" t="s">
        <v>16</v>
      </c>
      <c r="F748" t="s">
        <v>17</v>
      </c>
      <c r="G748" t="s">
        <v>43</v>
      </c>
      <c r="H748" t="s">
        <v>44</v>
      </c>
      <c r="I748">
        <v>2</v>
      </c>
      <c r="J748">
        <v>4117.3999999999996</v>
      </c>
      <c r="K748">
        <v>647.30999999999995</v>
      </c>
      <c r="L748">
        <v>15</v>
      </c>
      <c r="M748" t="s">
        <v>40</v>
      </c>
      <c r="N748" t="str">
        <f>TEXT(Table1[[#This Row],[Order Date]],"MMMM")</f>
        <v>July</v>
      </c>
      <c r="O748">
        <f>YEAR(Table1[[#This Row],[Order Date]])</f>
        <v>2025</v>
      </c>
      <c r="P748" t="str">
        <f>"Q"&amp;ROUNDUP(MONTH(Table1[[#This Row],[Order Date]])/3,0)</f>
        <v>Q3</v>
      </c>
      <c r="Q748" s="3">
        <f>Table1[[#This Row],[Profit]]/Table1[[#This Row],[Sales]]</f>
        <v>0.15721328994025355</v>
      </c>
      <c r="R748" t="str">
        <f>IF(Table1[[#This Row],[Sales]]&lt;1000,"LOW",IF(Table1[[#This Row],[Sales]]&lt;5000,"MEDIUM","HIGH"))</f>
        <v>MEDIUM</v>
      </c>
      <c r="S748" s="2">
        <f>Table1[[#This Row],[Discount]]/100</f>
        <v>0.15</v>
      </c>
    </row>
    <row r="749" spans="1:19" x14ac:dyDescent="0.3">
      <c r="A749">
        <v>10748</v>
      </c>
      <c r="B749" s="1" t="s">
        <v>558</v>
      </c>
      <c r="C749" t="s">
        <v>317</v>
      </c>
      <c r="D749" t="s">
        <v>66</v>
      </c>
      <c r="E749" t="s">
        <v>16</v>
      </c>
      <c r="F749" t="s">
        <v>25</v>
      </c>
      <c r="G749" t="s">
        <v>26</v>
      </c>
      <c r="H749" t="s">
        <v>27</v>
      </c>
      <c r="I749">
        <v>3</v>
      </c>
      <c r="J749">
        <v>11253.15</v>
      </c>
      <c r="K749">
        <v>2671.08</v>
      </c>
      <c r="L749">
        <v>15</v>
      </c>
      <c r="M749" t="s">
        <v>28</v>
      </c>
      <c r="N749" t="str">
        <f>TEXT(Table1[[#This Row],[Order Date]],"MMMM")</f>
        <v>June</v>
      </c>
      <c r="O749">
        <f>YEAR(Table1[[#This Row],[Order Date]])</f>
        <v>2025</v>
      </c>
      <c r="P749" t="str">
        <f>"Q"&amp;ROUNDUP(MONTH(Table1[[#This Row],[Order Date]])/3,0)</f>
        <v>Q2</v>
      </c>
      <c r="Q749" s="3">
        <f>Table1[[#This Row],[Profit]]/Table1[[#This Row],[Sales]]</f>
        <v>0.23736287172924914</v>
      </c>
      <c r="R749" t="str">
        <f>IF(Table1[[#This Row],[Sales]]&lt;1000,"LOW",IF(Table1[[#This Row],[Sales]]&lt;5000,"MEDIUM","HIGH"))</f>
        <v>HIGH</v>
      </c>
      <c r="S749" s="2">
        <f>Table1[[#This Row],[Discount]]/100</f>
        <v>0.15</v>
      </c>
    </row>
    <row r="750" spans="1:19" x14ac:dyDescent="0.3">
      <c r="A750">
        <v>10749</v>
      </c>
      <c r="B750" s="1" t="s">
        <v>319</v>
      </c>
      <c r="C750" t="s">
        <v>137</v>
      </c>
      <c r="D750" t="s">
        <v>56</v>
      </c>
      <c r="E750" t="s">
        <v>57</v>
      </c>
      <c r="F750" t="s">
        <v>31</v>
      </c>
      <c r="G750" t="s">
        <v>32</v>
      </c>
      <c r="H750" t="s">
        <v>33</v>
      </c>
      <c r="I750">
        <v>8</v>
      </c>
      <c r="J750">
        <v>27641.200000000001</v>
      </c>
      <c r="K750">
        <v>8205.9599999999991</v>
      </c>
      <c r="L750">
        <v>5</v>
      </c>
      <c r="M750" t="s">
        <v>28</v>
      </c>
      <c r="N750" t="str">
        <f>TEXT(Table1[[#This Row],[Order Date]],"MMMM")</f>
        <v>July</v>
      </c>
      <c r="O750">
        <f>YEAR(Table1[[#This Row],[Order Date]])</f>
        <v>2025</v>
      </c>
      <c r="P750" t="str">
        <f>"Q"&amp;ROUNDUP(MONTH(Table1[[#This Row],[Order Date]])/3,0)</f>
        <v>Q3</v>
      </c>
      <c r="Q750" s="3">
        <f>Table1[[#This Row],[Profit]]/Table1[[#This Row],[Sales]]</f>
        <v>0.29687423122006279</v>
      </c>
      <c r="R750" t="str">
        <f>IF(Table1[[#This Row],[Sales]]&lt;1000,"LOW",IF(Table1[[#This Row],[Sales]]&lt;5000,"MEDIUM","HIGH"))</f>
        <v>HIGH</v>
      </c>
      <c r="S750" s="2">
        <f>Table1[[#This Row],[Discount]]/100</f>
        <v>0.05</v>
      </c>
    </row>
    <row r="751" spans="1:19" x14ac:dyDescent="0.3">
      <c r="A751">
        <v>10750</v>
      </c>
      <c r="B751" s="1" t="s">
        <v>512</v>
      </c>
      <c r="C751" t="s">
        <v>374</v>
      </c>
      <c r="D751" t="s">
        <v>66</v>
      </c>
      <c r="E751" t="s">
        <v>16</v>
      </c>
      <c r="F751" t="s">
        <v>31</v>
      </c>
      <c r="G751" t="s">
        <v>32</v>
      </c>
      <c r="H751" t="s">
        <v>33</v>
      </c>
      <c r="I751">
        <v>1</v>
      </c>
      <c r="J751">
        <v>2456</v>
      </c>
      <c r="K751">
        <v>613.58000000000004</v>
      </c>
      <c r="L751">
        <v>20</v>
      </c>
      <c r="M751" t="s">
        <v>49</v>
      </c>
      <c r="N751" t="str">
        <f>TEXT(Table1[[#This Row],[Order Date]],"MMMM")</f>
        <v>April</v>
      </c>
      <c r="O751">
        <f>YEAR(Table1[[#This Row],[Order Date]])</f>
        <v>2025</v>
      </c>
      <c r="P751" t="str">
        <f>"Q"&amp;ROUNDUP(MONTH(Table1[[#This Row],[Order Date]])/3,0)</f>
        <v>Q2</v>
      </c>
      <c r="Q751" s="3">
        <f>Table1[[#This Row],[Profit]]/Table1[[#This Row],[Sales]]</f>
        <v>0.24982899022801305</v>
      </c>
      <c r="R751" t="str">
        <f>IF(Table1[[#This Row],[Sales]]&lt;1000,"LOW",IF(Table1[[#This Row],[Sales]]&lt;5000,"MEDIUM","HIGH"))</f>
        <v>MEDIUM</v>
      </c>
      <c r="S751" s="2">
        <f>Table1[[#This Row],[Discount]]/100</f>
        <v>0.2</v>
      </c>
    </row>
    <row r="752" spans="1:19" x14ac:dyDescent="0.3">
      <c r="A752">
        <v>10751</v>
      </c>
      <c r="B752" s="1" t="s">
        <v>513</v>
      </c>
      <c r="C752" t="s">
        <v>302</v>
      </c>
      <c r="D752" t="s">
        <v>15</v>
      </c>
      <c r="E752" t="s">
        <v>16</v>
      </c>
      <c r="F752" t="s">
        <v>17</v>
      </c>
      <c r="G752" t="s">
        <v>75</v>
      </c>
      <c r="H752" t="s">
        <v>116</v>
      </c>
      <c r="I752">
        <v>1</v>
      </c>
      <c r="J752">
        <v>4497</v>
      </c>
      <c r="K752">
        <v>819.83</v>
      </c>
      <c r="L752">
        <v>0</v>
      </c>
      <c r="M752" t="s">
        <v>49</v>
      </c>
      <c r="N752" t="str">
        <f>TEXT(Table1[[#This Row],[Order Date]],"MMMM")</f>
        <v>August</v>
      </c>
      <c r="O752">
        <f>YEAR(Table1[[#This Row],[Order Date]])</f>
        <v>2025</v>
      </c>
      <c r="P752" t="str">
        <f>"Q"&amp;ROUNDUP(MONTH(Table1[[#This Row],[Order Date]])/3,0)</f>
        <v>Q3</v>
      </c>
      <c r="Q752" s="3">
        <f>Table1[[#This Row],[Profit]]/Table1[[#This Row],[Sales]]</f>
        <v>0.18230598176562154</v>
      </c>
      <c r="R752" t="str">
        <f>IF(Table1[[#This Row],[Sales]]&lt;1000,"LOW",IF(Table1[[#This Row],[Sales]]&lt;5000,"MEDIUM","HIGH"))</f>
        <v>MEDIUM</v>
      </c>
      <c r="S752" s="2">
        <f>Table1[[#This Row],[Discount]]/100</f>
        <v>0</v>
      </c>
    </row>
    <row r="753" spans="1:19" x14ac:dyDescent="0.3">
      <c r="A753">
        <v>10752</v>
      </c>
      <c r="B753" s="1" t="s">
        <v>559</v>
      </c>
      <c r="C753" t="s">
        <v>445</v>
      </c>
      <c r="D753" t="s">
        <v>52</v>
      </c>
      <c r="E753" t="s">
        <v>53</v>
      </c>
      <c r="F753" t="s">
        <v>17</v>
      </c>
      <c r="G753" t="s">
        <v>43</v>
      </c>
      <c r="H753" t="s">
        <v>44</v>
      </c>
      <c r="I753">
        <v>8</v>
      </c>
      <c r="J753">
        <v>35944</v>
      </c>
      <c r="K753">
        <v>7830.89</v>
      </c>
      <c r="L753">
        <v>0</v>
      </c>
      <c r="M753" t="s">
        <v>20</v>
      </c>
      <c r="N753" t="str">
        <f>TEXT(Table1[[#This Row],[Order Date]],"MMMM")</f>
        <v>March</v>
      </c>
      <c r="O753">
        <f>YEAR(Table1[[#This Row],[Order Date]])</f>
        <v>2025</v>
      </c>
      <c r="P753" t="str">
        <f>"Q"&amp;ROUNDUP(MONTH(Table1[[#This Row],[Order Date]])/3,0)</f>
        <v>Q1</v>
      </c>
      <c r="Q753" s="3">
        <f>Table1[[#This Row],[Profit]]/Table1[[#This Row],[Sales]]</f>
        <v>0.21786362118851549</v>
      </c>
      <c r="R753" t="str">
        <f>IF(Table1[[#This Row],[Sales]]&lt;1000,"LOW",IF(Table1[[#This Row],[Sales]]&lt;5000,"MEDIUM","HIGH"))</f>
        <v>HIGH</v>
      </c>
      <c r="S753" s="2">
        <f>Table1[[#This Row],[Discount]]/100</f>
        <v>0</v>
      </c>
    </row>
    <row r="754" spans="1:19" x14ac:dyDescent="0.3">
      <c r="A754">
        <v>10753</v>
      </c>
      <c r="B754" s="1" t="s">
        <v>411</v>
      </c>
      <c r="C754" t="s">
        <v>560</v>
      </c>
      <c r="D754" t="s">
        <v>60</v>
      </c>
      <c r="E754" t="s">
        <v>61</v>
      </c>
      <c r="F754" t="s">
        <v>25</v>
      </c>
      <c r="G754" t="s">
        <v>95</v>
      </c>
      <c r="H754" t="s">
        <v>96</v>
      </c>
      <c r="I754">
        <v>1</v>
      </c>
      <c r="J754">
        <v>3872</v>
      </c>
      <c r="K754">
        <v>618.13</v>
      </c>
      <c r="L754">
        <v>20</v>
      </c>
      <c r="M754" t="s">
        <v>40</v>
      </c>
      <c r="N754" t="str">
        <f>TEXT(Table1[[#This Row],[Order Date]],"MMMM")</f>
        <v>June</v>
      </c>
      <c r="O754">
        <f>YEAR(Table1[[#This Row],[Order Date]])</f>
        <v>2025</v>
      </c>
      <c r="P754" t="str">
        <f>"Q"&amp;ROUNDUP(MONTH(Table1[[#This Row],[Order Date]])/3,0)</f>
        <v>Q2</v>
      </c>
      <c r="Q754" s="3">
        <f>Table1[[#This Row],[Profit]]/Table1[[#This Row],[Sales]]</f>
        <v>0.1596410123966942</v>
      </c>
      <c r="R754" t="str">
        <f>IF(Table1[[#This Row],[Sales]]&lt;1000,"LOW",IF(Table1[[#This Row],[Sales]]&lt;5000,"MEDIUM","HIGH"))</f>
        <v>MEDIUM</v>
      </c>
      <c r="S754" s="2">
        <f>Table1[[#This Row],[Discount]]/100</f>
        <v>0.2</v>
      </c>
    </row>
    <row r="755" spans="1:19" x14ac:dyDescent="0.3">
      <c r="A755">
        <v>10754</v>
      </c>
      <c r="B755" s="1" t="s">
        <v>553</v>
      </c>
      <c r="C755" t="s">
        <v>94</v>
      </c>
      <c r="D755" t="s">
        <v>23</v>
      </c>
      <c r="E755" t="s">
        <v>24</v>
      </c>
      <c r="F755" t="s">
        <v>17</v>
      </c>
      <c r="G755" t="s">
        <v>75</v>
      </c>
      <c r="H755" t="s">
        <v>76</v>
      </c>
      <c r="I755">
        <v>5</v>
      </c>
      <c r="J755">
        <v>20650</v>
      </c>
      <c r="K755">
        <v>5902.06</v>
      </c>
      <c r="L755">
        <v>0</v>
      </c>
      <c r="M755" t="s">
        <v>40</v>
      </c>
      <c r="N755" t="str">
        <f>TEXT(Table1[[#This Row],[Order Date]],"MMMM")</f>
        <v>June</v>
      </c>
      <c r="O755">
        <f>YEAR(Table1[[#This Row],[Order Date]])</f>
        <v>2025</v>
      </c>
      <c r="P755" t="str">
        <f>"Q"&amp;ROUNDUP(MONTH(Table1[[#This Row],[Order Date]])/3,0)</f>
        <v>Q2</v>
      </c>
      <c r="Q755" s="3">
        <f>Table1[[#This Row],[Profit]]/Table1[[#This Row],[Sales]]</f>
        <v>0.28581404358353513</v>
      </c>
      <c r="R755" t="str">
        <f>IF(Table1[[#This Row],[Sales]]&lt;1000,"LOW",IF(Table1[[#This Row],[Sales]]&lt;5000,"MEDIUM","HIGH"))</f>
        <v>HIGH</v>
      </c>
      <c r="S755" s="2">
        <f>Table1[[#This Row],[Discount]]/100</f>
        <v>0</v>
      </c>
    </row>
    <row r="756" spans="1:19" x14ac:dyDescent="0.3">
      <c r="A756">
        <v>10755</v>
      </c>
      <c r="B756" s="1" t="s">
        <v>452</v>
      </c>
      <c r="C756" t="s">
        <v>479</v>
      </c>
      <c r="D756" t="s">
        <v>36</v>
      </c>
      <c r="E756" t="s">
        <v>37</v>
      </c>
      <c r="F756" t="s">
        <v>17</v>
      </c>
      <c r="G756" t="s">
        <v>75</v>
      </c>
      <c r="H756" t="s">
        <v>76</v>
      </c>
      <c r="I756">
        <v>3</v>
      </c>
      <c r="J756">
        <v>6069</v>
      </c>
      <c r="K756">
        <v>897.11</v>
      </c>
      <c r="L756">
        <v>0</v>
      </c>
      <c r="M756" t="s">
        <v>45</v>
      </c>
      <c r="N756" t="str">
        <f>TEXT(Table1[[#This Row],[Order Date]],"MMMM")</f>
        <v>January</v>
      </c>
      <c r="O756">
        <f>YEAR(Table1[[#This Row],[Order Date]])</f>
        <v>2025</v>
      </c>
      <c r="P756" t="str">
        <f>"Q"&amp;ROUNDUP(MONTH(Table1[[#This Row],[Order Date]])/3,0)</f>
        <v>Q1</v>
      </c>
      <c r="Q756" s="3">
        <f>Table1[[#This Row],[Profit]]/Table1[[#This Row],[Sales]]</f>
        <v>0.14781842148624155</v>
      </c>
      <c r="R756" t="str">
        <f>IF(Table1[[#This Row],[Sales]]&lt;1000,"LOW",IF(Table1[[#This Row],[Sales]]&lt;5000,"MEDIUM","HIGH"))</f>
        <v>HIGH</v>
      </c>
      <c r="S756" s="2">
        <f>Table1[[#This Row],[Discount]]/100</f>
        <v>0</v>
      </c>
    </row>
    <row r="757" spans="1:19" x14ac:dyDescent="0.3">
      <c r="A757">
        <v>10756</v>
      </c>
      <c r="B757" s="1" t="s">
        <v>411</v>
      </c>
      <c r="C757" t="s">
        <v>144</v>
      </c>
      <c r="D757" t="s">
        <v>15</v>
      </c>
      <c r="E757" t="s">
        <v>16</v>
      </c>
      <c r="F757" t="s">
        <v>25</v>
      </c>
      <c r="G757" t="s">
        <v>26</v>
      </c>
      <c r="H757" t="s">
        <v>71</v>
      </c>
      <c r="I757">
        <v>1</v>
      </c>
      <c r="J757">
        <v>1704</v>
      </c>
      <c r="K757">
        <v>395.42</v>
      </c>
      <c r="L757">
        <v>0</v>
      </c>
      <c r="M757" t="s">
        <v>49</v>
      </c>
      <c r="N757" t="str">
        <f>TEXT(Table1[[#This Row],[Order Date]],"MMMM")</f>
        <v>June</v>
      </c>
      <c r="O757">
        <f>YEAR(Table1[[#This Row],[Order Date]])</f>
        <v>2025</v>
      </c>
      <c r="P757" t="str">
        <f>"Q"&amp;ROUNDUP(MONTH(Table1[[#This Row],[Order Date]])/3,0)</f>
        <v>Q2</v>
      </c>
      <c r="Q757" s="3">
        <f>Table1[[#This Row],[Profit]]/Table1[[#This Row],[Sales]]</f>
        <v>0.23205399061032864</v>
      </c>
      <c r="R757" t="str">
        <f>IF(Table1[[#This Row],[Sales]]&lt;1000,"LOW",IF(Table1[[#This Row],[Sales]]&lt;5000,"MEDIUM","HIGH"))</f>
        <v>MEDIUM</v>
      </c>
      <c r="S757" s="2">
        <f>Table1[[#This Row],[Discount]]/100</f>
        <v>0</v>
      </c>
    </row>
    <row r="758" spans="1:19" x14ac:dyDescent="0.3">
      <c r="A758">
        <v>10757</v>
      </c>
      <c r="B758" s="1" t="s">
        <v>97</v>
      </c>
      <c r="C758" t="s">
        <v>146</v>
      </c>
      <c r="D758" t="s">
        <v>23</v>
      </c>
      <c r="E758" t="s">
        <v>24</v>
      </c>
      <c r="F758" t="s">
        <v>31</v>
      </c>
      <c r="G758" t="s">
        <v>38</v>
      </c>
      <c r="H758" t="s">
        <v>39</v>
      </c>
      <c r="I758">
        <v>3</v>
      </c>
      <c r="J758">
        <v>10354.5</v>
      </c>
      <c r="K758">
        <v>2815.97</v>
      </c>
      <c r="L758">
        <v>10</v>
      </c>
      <c r="M758" t="s">
        <v>45</v>
      </c>
      <c r="N758" t="str">
        <f>TEXT(Table1[[#This Row],[Order Date]],"MMMM")</f>
        <v>May</v>
      </c>
      <c r="O758">
        <f>YEAR(Table1[[#This Row],[Order Date]])</f>
        <v>2025</v>
      </c>
      <c r="P758" t="str">
        <f>"Q"&amp;ROUNDUP(MONTH(Table1[[#This Row],[Order Date]])/3,0)</f>
        <v>Q2</v>
      </c>
      <c r="Q758" s="3">
        <f>Table1[[#This Row],[Profit]]/Table1[[#This Row],[Sales]]</f>
        <v>0.27195615432903569</v>
      </c>
      <c r="R758" t="str">
        <f>IF(Table1[[#This Row],[Sales]]&lt;1000,"LOW",IF(Table1[[#This Row],[Sales]]&lt;5000,"MEDIUM","HIGH"))</f>
        <v>HIGH</v>
      </c>
      <c r="S758" s="2">
        <f>Table1[[#This Row],[Discount]]/100</f>
        <v>0.1</v>
      </c>
    </row>
    <row r="759" spans="1:19" x14ac:dyDescent="0.3">
      <c r="A759">
        <v>10758</v>
      </c>
      <c r="B759" s="1" t="s">
        <v>502</v>
      </c>
      <c r="C759" t="s">
        <v>333</v>
      </c>
      <c r="D759" t="s">
        <v>52</v>
      </c>
      <c r="E759" t="s">
        <v>53</v>
      </c>
      <c r="F759" t="s">
        <v>25</v>
      </c>
      <c r="G759" t="s">
        <v>26</v>
      </c>
      <c r="H759" t="s">
        <v>48</v>
      </c>
      <c r="I759">
        <v>7</v>
      </c>
      <c r="J759">
        <v>17183.599999999999</v>
      </c>
      <c r="K759">
        <v>2444.0300000000002</v>
      </c>
      <c r="L759">
        <v>5</v>
      </c>
      <c r="M759" t="s">
        <v>28</v>
      </c>
      <c r="N759" t="str">
        <f>TEXT(Table1[[#This Row],[Order Date]],"MMMM")</f>
        <v>August</v>
      </c>
      <c r="O759">
        <f>YEAR(Table1[[#This Row],[Order Date]])</f>
        <v>2025</v>
      </c>
      <c r="P759" t="str">
        <f>"Q"&amp;ROUNDUP(MONTH(Table1[[#This Row],[Order Date]])/3,0)</f>
        <v>Q3</v>
      </c>
      <c r="Q759" s="3">
        <f>Table1[[#This Row],[Profit]]/Table1[[#This Row],[Sales]]</f>
        <v>0.14223038245769223</v>
      </c>
      <c r="R759" t="str">
        <f>IF(Table1[[#This Row],[Sales]]&lt;1000,"LOW",IF(Table1[[#This Row],[Sales]]&lt;5000,"MEDIUM","HIGH"))</f>
        <v>HIGH</v>
      </c>
      <c r="S759" s="2">
        <f>Table1[[#This Row],[Discount]]/100</f>
        <v>0.05</v>
      </c>
    </row>
    <row r="760" spans="1:19" x14ac:dyDescent="0.3">
      <c r="A760">
        <v>10759</v>
      </c>
      <c r="B760" s="1" t="s">
        <v>429</v>
      </c>
      <c r="C760" t="s">
        <v>235</v>
      </c>
      <c r="D760" t="s">
        <v>23</v>
      </c>
      <c r="E760" t="s">
        <v>24</v>
      </c>
      <c r="F760" t="s">
        <v>17</v>
      </c>
      <c r="G760" t="s">
        <v>75</v>
      </c>
      <c r="H760" t="s">
        <v>116</v>
      </c>
      <c r="I760">
        <v>1</v>
      </c>
      <c r="J760">
        <v>3920</v>
      </c>
      <c r="K760">
        <v>331.29</v>
      </c>
      <c r="L760">
        <v>20</v>
      </c>
      <c r="M760" t="s">
        <v>20</v>
      </c>
      <c r="N760" t="str">
        <f>TEXT(Table1[[#This Row],[Order Date]],"MMMM")</f>
        <v>September</v>
      </c>
      <c r="O760">
        <f>YEAR(Table1[[#This Row],[Order Date]])</f>
        <v>2025</v>
      </c>
      <c r="P760" t="str">
        <f>"Q"&amp;ROUNDUP(MONTH(Table1[[#This Row],[Order Date]])/3,0)</f>
        <v>Q3</v>
      </c>
      <c r="Q760" s="3">
        <f>Table1[[#This Row],[Profit]]/Table1[[#This Row],[Sales]]</f>
        <v>8.4512755102040815E-2</v>
      </c>
      <c r="R760" t="str">
        <f>IF(Table1[[#This Row],[Sales]]&lt;1000,"LOW",IF(Table1[[#This Row],[Sales]]&lt;5000,"MEDIUM","HIGH"))</f>
        <v>MEDIUM</v>
      </c>
      <c r="S760" s="2">
        <f>Table1[[#This Row],[Discount]]/100</f>
        <v>0.2</v>
      </c>
    </row>
    <row r="761" spans="1:19" x14ac:dyDescent="0.3">
      <c r="A761">
        <v>10760</v>
      </c>
      <c r="B761" s="1" t="s">
        <v>430</v>
      </c>
      <c r="C761" t="s">
        <v>412</v>
      </c>
      <c r="D761" t="s">
        <v>56</v>
      </c>
      <c r="E761" t="s">
        <v>57</v>
      </c>
      <c r="F761" t="s">
        <v>25</v>
      </c>
      <c r="G761" t="s">
        <v>26</v>
      </c>
      <c r="H761" t="s">
        <v>27</v>
      </c>
      <c r="I761">
        <v>7</v>
      </c>
      <c r="J761">
        <v>19511.099999999999</v>
      </c>
      <c r="K761">
        <v>5650.67</v>
      </c>
      <c r="L761">
        <v>10</v>
      </c>
      <c r="M761" t="s">
        <v>45</v>
      </c>
      <c r="N761" t="str">
        <f>TEXT(Table1[[#This Row],[Order Date]],"MMMM")</f>
        <v>May</v>
      </c>
      <c r="O761">
        <f>YEAR(Table1[[#This Row],[Order Date]])</f>
        <v>2025</v>
      </c>
      <c r="P761" t="str">
        <f>"Q"&amp;ROUNDUP(MONTH(Table1[[#This Row],[Order Date]])/3,0)</f>
        <v>Q2</v>
      </c>
      <c r="Q761" s="3">
        <f>Table1[[#This Row],[Profit]]/Table1[[#This Row],[Sales]]</f>
        <v>0.28961309203479046</v>
      </c>
      <c r="R761" t="str">
        <f>IF(Table1[[#This Row],[Sales]]&lt;1000,"LOW",IF(Table1[[#This Row],[Sales]]&lt;5000,"MEDIUM","HIGH"))</f>
        <v>HIGH</v>
      </c>
      <c r="S761" s="2">
        <f>Table1[[#This Row],[Discount]]/100</f>
        <v>0.1</v>
      </c>
    </row>
    <row r="762" spans="1:19" x14ac:dyDescent="0.3">
      <c r="A762">
        <v>10761</v>
      </c>
      <c r="B762" s="1" t="s">
        <v>399</v>
      </c>
      <c r="C762" t="s">
        <v>279</v>
      </c>
      <c r="D762" t="s">
        <v>66</v>
      </c>
      <c r="E762" t="s">
        <v>16</v>
      </c>
      <c r="F762" t="s">
        <v>17</v>
      </c>
      <c r="G762" t="s">
        <v>75</v>
      </c>
      <c r="H762" t="s">
        <v>76</v>
      </c>
      <c r="I762">
        <v>4</v>
      </c>
      <c r="J762">
        <v>11667.6</v>
      </c>
      <c r="K762">
        <v>2816.38</v>
      </c>
      <c r="L762">
        <v>10</v>
      </c>
      <c r="M762" t="s">
        <v>28</v>
      </c>
      <c r="N762" t="str">
        <f>TEXT(Table1[[#This Row],[Order Date]],"MMMM")</f>
        <v>February</v>
      </c>
      <c r="O762">
        <f>YEAR(Table1[[#This Row],[Order Date]])</f>
        <v>2025</v>
      </c>
      <c r="P762" t="str">
        <f>"Q"&amp;ROUNDUP(MONTH(Table1[[#This Row],[Order Date]])/3,0)</f>
        <v>Q1</v>
      </c>
      <c r="Q762" s="3">
        <f>Table1[[#This Row],[Profit]]/Table1[[#This Row],[Sales]]</f>
        <v>0.241384689224862</v>
      </c>
      <c r="R762" t="str">
        <f>IF(Table1[[#This Row],[Sales]]&lt;1000,"LOW",IF(Table1[[#This Row],[Sales]]&lt;5000,"MEDIUM","HIGH"))</f>
        <v>HIGH</v>
      </c>
      <c r="S762" s="2">
        <f>Table1[[#This Row],[Discount]]/100</f>
        <v>0.1</v>
      </c>
    </row>
    <row r="763" spans="1:19" x14ac:dyDescent="0.3">
      <c r="A763">
        <v>10762</v>
      </c>
      <c r="B763" s="1" t="s">
        <v>561</v>
      </c>
      <c r="C763" t="s">
        <v>379</v>
      </c>
      <c r="D763" t="s">
        <v>60</v>
      </c>
      <c r="E763" t="s">
        <v>61</v>
      </c>
      <c r="F763" t="s">
        <v>31</v>
      </c>
      <c r="G763" t="s">
        <v>89</v>
      </c>
      <c r="H763" t="s">
        <v>90</v>
      </c>
      <c r="I763">
        <v>6</v>
      </c>
      <c r="J763">
        <v>22909.200000000001</v>
      </c>
      <c r="K763">
        <v>2548.7399999999998</v>
      </c>
      <c r="L763">
        <v>15</v>
      </c>
      <c r="M763" t="s">
        <v>49</v>
      </c>
      <c r="N763" t="str">
        <f>TEXT(Table1[[#This Row],[Order Date]],"MMMM")</f>
        <v>December</v>
      </c>
      <c r="O763">
        <f>YEAR(Table1[[#This Row],[Order Date]])</f>
        <v>2025</v>
      </c>
      <c r="P763" t="str">
        <f>"Q"&amp;ROUNDUP(MONTH(Table1[[#This Row],[Order Date]])/3,0)</f>
        <v>Q4</v>
      </c>
      <c r="Q763" s="3">
        <f>Table1[[#This Row],[Profit]]/Table1[[#This Row],[Sales]]</f>
        <v>0.11125399402859985</v>
      </c>
      <c r="R763" t="str">
        <f>IF(Table1[[#This Row],[Sales]]&lt;1000,"LOW",IF(Table1[[#This Row],[Sales]]&lt;5000,"MEDIUM","HIGH"))</f>
        <v>HIGH</v>
      </c>
      <c r="S763" s="2">
        <f>Table1[[#This Row],[Discount]]/100</f>
        <v>0.15</v>
      </c>
    </row>
    <row r="764" spans="1:19" x14ac:dyDescent="0.3">
      <c r="A764">
        <v>10763</v>
      </c>
      <c r="B764" s="1" t="s">
        <v>97</v>
      </c>
      <c r="C764" t="s">
        <v>396</v>
      </c>
      <c r="D764" t="s">
        <v>60</v>
      </c>
      <c r="E764" t="s">
        <v>61</v>
      </c>
      <c r="F764" t="s">
        <v>17</v>
      </c>
      <c r="G764" t="s">
        <v>18</v>
      </c>
      <c r="H764" t="s">
        <v>19</v>
      </c>
      <c r="I764">
        <v>2</v>
      </c>
      <c r="J764">
        <v>5473.9</v>
      </c>
      <c r="K764">
        <v>1573.11</v>
      </c>
      <c r="L764">
        <v>5</v>
      </c>
      <c r="M764" t="s">
        <v>40</v>
      </c>
      <c r="N764" t="str">
        <f>TEXT(Table1[[#This Row],[Order Date]],"MMMM")</f>
        <v>May</v>
      </c>
      <c r="O764">
        <f>YEAR(Table1[[#This Row],[Order Date]])</f>
        <v>2025</v>
      </c>
      <c r="P764" t="str">
        <f>"Q"&amp;ROUNDUP(MONTH(Table1[[#This Row],[Order Date]])/3,0)</f>
        <v>Q2</v>
      </c>
      <c r="Q764" s="3">
        <f>Table1[[#This Row],[Profit]]/Table1[[#This Row],[Sales]]</f>
        <v>0.28738376660150899</v>
      </c>
      <c r="R764" t="str">
        <f>IF(Table1[[#This Row],[Sales]]&lt;1000,"LOW",IF(Table1[[#This Row],[Sales]]&lt;5000,"MEDIUM","HIGH"))</f>
        <v>HIGH</v>
      </c>
      <c r="S764" s="2">
        <f>Table1[[#This Row],[Discount]]/100</f>
        <v>0.05</v>
      </c>
    </row>
    <row r="765" spans="1:19" x14ac:dyDescent="0.3">
      <c r="A765">
        <v>10764</v>
      </c>
      <c r="B765" s="1" t="s">
        <v>416</v>
      </c>
      <c r="C765" t="s">
        <v>156</v>
      </c>
      <c r="D765" t="s">
        <v>66</v>
      </c>
      <c r="E765" t="s">
        <v>16</v>
      </c>
      <c r="F765" t="s">
        <v>17</v>
      </c>
      <c r="G765" t="s">
        <v>75</v>
      </c>
      <c r="H765" t="s">
        <v>116</v>
      </c>
      <c r="I765">
        <v>6</v>
      </c>
      <c r="J765">
        <v>22410</v>
      </c>
      <c r="K765">
        <v>4064.2</v>
      </c>
      <c r="L765">
        <v>0</v>
      </c>
      <c r="M765" t="s">
        <v>45</v>
      </c>
      <c r="N765" t="str">
        <f>TEXT(Table1[[#This Row],[Order Date]],"MMMM")</f>
        <v>March</v>
      </c>
      <c r="O765">
        <f>YEAR(Table1[[#This Row],[Order Date]])</f>
        <v>2025</v>
      </c>
      <c r="P765" t="str">
        <f>"Q"&amp;ROUNDUP(MONTH(Table1[[#This Row],[Order Date]])/3,0)</f>
        <v>Q1</v>
      </c>
      <c r="Q765" s="3">
        <f>Table1[[#This Row],[Profit]]/Table1[[#This Row],[Sales]]</f>
        <v>0.18135653726015172</v>
      </c>
      <c r="R765" t="str">
        <f>IF(Table1[[#This Row],[Sales]]&lt;1000,"LOW",IF(Table1[[#This Row],[Sales]]&lt;5000,"MEDIUM","HIGH"))</f>
        <v>HIGH</v>
      </c>
      <c r="S765" s="2">
        <f>Table1[[#This Row],[Discount]]/100</f>
        <v>0</v>
      </c>
    </row>
    <row r="766" spans="1:19" x14ac:dyDescent="0.3">
      <c r="A766">
        <v>10765</v>
      </c>
      <c r="B766" s="1" t="s">
        <v>393</v>
      </c>
      <c r="C766" t="s">
        <v>51</v>
      </c>
      <c r="D766" t="s">
        <v>56</v>
      </c>
      <c r="E766" t="s">
        <v>57</v>
      </c>
      <c r="F766" t="s">
        <v>25</v>
      </c>
      <c r="G766" t="s">
        <v>95</v>
      </c>
      <c r="H766" t="s">
        <v>96</v>
      </c>
      <c r="I766">
        <v>7</v>
      </c>
      <c r="J766">
        <v>8719.2000000000007</v>
      </c>
      <c r="K766">
        <v>1565.29</v>
      </c>
      <c r="L766">
        <v>20</v>
      </c>
      <c r="M766" t="s">
        <v>45</v>
      </c>
      <c r="N766" t="str">
        <f>TEXT(Table1[[#This Row],[Order Date]],"MMMM")</f>
        <v>October</v>
      </c>
      <c r="O766">
        <f>YEAR(Table1[[#This Row],[Order Date]])</f>
        <v>2025</v>
      </c>
      <c r="P766" t="str">
        <f>"Q"&amp;ROUNDUP(MONTH(Table1[[#This Row],[Order Date]])/3,0)</f>
        <v>Q4</v>
      </c>
      <c r="Q766" s="3">
        <f>Table1[[#This Row],[Profit]]/Table1[[#This Row],[Sales]]</f>
        <v>0.17952220387191484</v>
      </c>
      <c r="R766" t="str">
        <f>IF(Table1[[#This Row],[Sales]]&lt;1000,"LOW",IF(Table1[[#This Row],[Sales]]&lt;5000,"MEDIUM","HIGH"))</f>
        <v>HIGH</v>
      </c>
      <c r="S766" s="2">
        <f>Table1[[#This Row],[Discount]]/100</f>
        <v>0.2</v>
      </c>
    </row>
    <row r="767" spans="1:19" x14ac:dyDescent="0.3">
      <c r="A767">
        <v>10766</v>
      </c>
      <c r="B767" s="1" t="s">
        <v>344</v>
      </c>
      <c r="C767" t="s">
        <v>109</v>
      </c>
      <c r="D767" t="s">
        <v>15</v>
      </c>
      <c r="E767" t="s">
        <v>16</v>
      </c>
      <c r="F767" t="s">
        <v>31</v>
      </c>
      <c r="G767" t="s">
        <v>124</v>
      </c>
      <c r="H767" t="s">
        <v>125</v>
      </c>
      <c r="I767">
        <v>6</v>
      </c>
      <c r="J767">
        <v>16824.900000000001</v>
      </c>
      <c r="K767">
        <v>3604.17</v>
      </c>
      <c r="L767">
        <v>15</v>
      </c>
      <c r="M767" t="s">
        <v>28</v>
      </c>
      <c r="N767" t="str">
        <f>TEXT(Table1[[#This Row],[Order Date]],"MMMM")</f>
        <v>July</v>
      </c>
      <c r="O767">
        <f>YEAR(Table1[[#This Row],[Order Date]])</f>
        <v>2025</v>
      </c>
      <c r="P767" t="str">
        <f>"Q"&amp;ROUNDUP(MONTH(Table1[[#This Row],[Order Date]])/3,0)</f>
        <v>Q3</v>
      </c>
      <c r="Q767" s="3">
        <f>Table1[[#This Row],[Profit]]/Table1[[#This Row],[Sales]]</f>
        <v>0.21421642922097603</v>
      </c>
      <c r="R767" t="str">
        <f>IF(Table1[[#This Row],[Sales]]&lt;1000,"LOW",IF(Table1[[#This Row],[Sales]]&lt;5000,"MEDIUM","HIGH"))</f>
        <v>HIGH</v>
      </c>
      <c r="S767" s="2">
        <f>Table1[[#This Row],[Discount]]/100</f>
        <v>0.15</v>
      </c>
    </row>
    <row r="768" spans="1:19" x14ac:dyDescent="0.3">
      <c r="A768">
        <v>10767</v>
      </c>
      <c r="B768" s="1" t="s">
        <v>533</v>
      </c>
      <c r="C768" t="s">
        <v>156</v>
      </c>
      <c r="D768" t="s">
        <v>56</v>
      </c>
      <c r="E768" t="s">
        <v>57</v>
      </c>
      <c r="F768" t="s">
        <v>31</v>
      </c>
      <c r="G768" t="s">
        <v>89</v>
      </c>
      <c r="H768" t="s">
        <v>90</v>
      </c>
      <c r="I768">
        <v>2</v>
      </c>
      <c r="J768">
        <v>2260.8000000000002</v>
      </c>
      <c r="K768">
        <v>616.41999999999996</v>
      </c>
      <c r="L768">
        <v>10</v>
      </c>
      <c r="M768" t="s">
        <v>40</v>
      </c>
      <c r="N768" t="str">
        <f>TEXT(Table1[[#This Row],[Order Date]],"MMMM")</f>
        <v>January</v>
      </c>
      <c r="O768">
        <f>YEAR(Table1[[#This Row],[Order Date]])</f>
        <v>2025</v>
      </c>
      <c r="P768" t="str">
        <f>"Q"&amp;ROUNDUP(MONTH(Table1[[#This Row],[Order Date]])/3,0)</f>
        <v>Q1</v>
      </c>
      <c r="Q768" s="3">
        <f>Table1[[#This Row],[Profit]]/Table1[[#This Row],[Sales]]</f>
        <v>0.27265569709837223</v>
      </c>
      <c r="R768" t="str">
        <f>IF(Table1[[#This Row],[Sales]]&lt;1000,"LOW",IF(Table1[[#This Row],[Sales]]&lt;5000,"MEDIUM","HIGH"))</f>
        <v>MEDIUM</v>
      </c>
      <c r="S768" s="2">
        <f>Table1[[#This Row],[Discount]]/100</f>
        <v>0.1</v>
      </c>
    </row>
    <row r="769" spans="1:19" x14ac:dyDescent="0.3">
      <c r="A769">
        <v>10768</v>
      </c>
      <c r="B769" s="1" t="s">
        <v>465</v>
      </c>
      <c r="C769" t="s">
        <v>387</v>
      </c>
      <c r="D769" t="s">
        <v>56</v>
      </c>
      <c r="E769" t="s">
        <v>57</v>
      </c>
      <c r="F769" t="s">
        <v>17</v>
      </c>
      <c r="G769" t="s">
        <v>43</v>
      </c>
      <c r="H769" t="s">
        <v>44</v>
      </c>
      <c r="I769">
        <v>5</v>
      </c>
      <c r="J769">
        <v>18684</v>
      </c>
      <c r="K769">
        <v>1998.82</v>
      </c>
      <c r="L769">
        <v>20</v>
      </c>
      <c r="M769" t="s">
        <v>49</v>
      </c>
      <c r="N769" t="str">
        <f>TEXT(Table1[[#This Row],[Order Date]],"MMMM")</f>
        <v>September</v>
      </c>
      <c r="O769">
        <f>YEAR(Table1[[#This Row],[Order Date]])</f>
        <v>2025</v>
      </c>
      <c r="P769" t="str">
        <f>"Q"&amp;ROUNDUP(MONTH(Table1[[#This Row],[Order Date]])/3,0)</f>
        <v>Q3</v>
      </c>
      <c r="Q769" s="3">
        <f>Table1[[#This Row],[Profit]]/Table1[[#This Row],[Sales]]</f>
        <v>0.10698030400342538</v>
      </c>
      <c r="R769" t="str">
        <f>IF(Table1[[#This Row],[Sales]]&lt;1000,"LOW",IF(Table1[[#This Row],[Sales]]&lt;5000,"MEDIUM","HIGH"))</f>
        <v>HIGH</v>
      </c>
      <c r="S769" s="2">
        <f>Table1[[#This Row],[Discount]]/100</f>
        <v>0.2</v>
      </c>
    </row>
    <row r="770" spans="1:19" x14ac:dyDescent="0.3">
      <c r="A770">
        <v>10769</v>
      </c>
      <c r="B770" s="1" t="s">
        <v>439</v>
      </c>
      <c r="C770" t="s">
        <v>201</v>
      </c>
      <c r="D770" t="s">
        <v>74</v>
      </c>
      <c r="E770" t="s">
        <v>74</v>
      </c>
      <c r="F770" t="s">
        <v>25</v>
      </c>
      <c r="G770" t="s">
        <v>26</v>
      </c>
      <c r="H770" t="s">
        <v>27</v>
      </c>
      <c r="I770">
        <v>1</v>
      </c>
      <c r="J770">
        <v>1952.8</v>
      </c>
      <c r="K770">
        <v>284.25</v>
      </c>
      <c r="L770">
        <v>20</v>
      </c>
      <c r="M770" t="s">
        <v>45</v>
      </c>
      <c r="N770" t="str">
        <f>TEXT(Table1[[#This Row],[Order Date]],"MMMM")</f>
        <v>January</v>
      </c>
      <c r="O770">
        <f>YEAR(Table1[[#This Row],[Order Date]])</f>
        <v>2025</v>
      </c>
      <c r="P770" t="str">
        <f>"Q"&amp;ROUNDUP(MONTH(Table1[[#This Row],[Order Date]])/3,0)</f>
        <v>Q1</v>
      </c>
      <c r="Q770" s="3">
        <f>Table1[[#This Row],[Profit]]/Table1[[#This Row],[Sales]]</f>
        <v>0.14556022122081114</v>
      </c>
      <c r="R770" t="str">
        <f>IF(Table1[[#This Row],[Sales]]&lt;1000,"LOW",IF(Table1[[#This Row],[Sales]]&lt;5000,"MEDIUM","HIGH"))</f>
        <v>MEDIUM</v>
      </c>
      <c r="S770" s="2">
        <f>Table1[[#This Row],[Discount]]/100</f>
        <v>0.2</v>
      </c>
    </row>
    <row r="771" spans="1:19" x14ac:dyDescent="0.3">
      <c r="A771">
        <v>10770</v>
      </c>
      <c r="B771" s="1" t="s">
        <v>132</v>
      </c>
      <c r="C771" t="s">
        <v>498</v>
      </c>
      <c r="D771" t="s">
        <v>56</v>
      </c>
      <c r="E771" t="s">
        <v>57</v>
      </c>
      <c r="F771" t="s">
        <v>25</v>
      </c>
      <c r="G771" t="s">
        <v>26</v>
      </c>
      <c r="H771" t="s">
        <v>27</v>
      </c>
      <c r="I771">
        <v>7</v>
      </c>
      <c r="J771">
        <v>19076.400000000001</v>
      </c>
      <c r="K771">
        <v>5524.58</v>
      </c>
      <c r="L771">
        <v>10</v>
      </c>
      <c r="M771" t="s">
        <v>20</v>
      </c>
      <c r="N771" t="str">
        <f>TEXT(Table1[[#This Row],[Order Date]],"MMMM")</f>
        <v>October</v>
      </c>
      <c r="O771">
        <f>YEAR(Table1[[#This Row],[Order Date]])</f>
        <v>2025</v>
      </c>
      <c r="P771" t="str">
        <f>"Q"&amp;ROUNDUP(MONTH(Table1[[#This Row],[Order Date]])/3,0)</f>
        <v>Q4</v>
      </c>
      <c r="Q771" s="3">
        <f>Table1[[#This Row],[Profit]]/Table1[[#This Row],[Sales]]</f>
        <v>0.28960286007842145</v>
      </c>
      <c r="R771" t="str">
        <f>IF(Table1[[#This Row],[Sales]]&lt;1000,"LOW",IF(Table1[[#This Row],[Sales]]&lt;5000,"MEDIUM","HIGH"))</f>
        <v>HIGH</v>
      </c>
      <c r="S771" s="2">
        <f>Table1[[#This Row],[Discount]]/100</f>
        <v>0.1</v>
      </c>
    </row>
    <row r="772" spans="1:19" x14ac:dyDescent="0.3">
      <c r="A772">
        <v>10771</v>
      </c>
      <c r="B772" s="1" t="s">
        <v>79</v>
      </c>
      <c r="C772" t="s">
        <v>141</v>
      </c>
      <c r="D772" t="s">
        <v>52</v>
      </c>
      <c r="E772" t="s">
        <v>53</v>
      </c>
      <c r="F772" t="s">
        <v>25</v>
      </c>
      <c r="G772" t="s">
        <v>26</v>
      </c>
      <c r="H772" t="s">
        <v>27</v>
      </c>
      <c r="I772">
        <v>2</v>
      </c>
      <c r="J772">
        <v>6542.4</v>
      </c>
      <c r="K772">
        <v>1203.71</v>
      </c>
      <c r="L772">
        <v>20</v>
      </c>
      <c r="M772" t="s">
        <v>49</v>
      </c>
      <c r="N772" t="str">
        <f>TEXT(Table1[[#This Row],[Order Date]],"MMMM")</f>
        <v>May</v>
      </c>
      <c r="O772">
        <f>YEAR(Table1[[#This Row],[Order Date]])</f>
        <v>2025</v>
      </c>
      <c r="P772" t="str">
        <f>"Q"&amp;ROUNDUP(MONTH(Table1[[#This Row],[Order Date]])/3,0)</f>
        <v>Q2</v>
      </c>
      <c r="Q772" s="3">
        <f>Table1[[#This Row],[Profit]]/Table1[[#This Row],[Sales]]</f>
        <v>0.18398599902176574</v>
      </c>
      <c r="R772" t="str">
        <f>IF(Table1[[#This Row],[Sales]]&lt;1000,"LOW",IF(Table1[[#This Row],[Sales]]&lt;5000,"MEDIUM","HIGH"))</f>
        <v>HIGH</v>
      </c>
      <c r="S772" s="2">
        <f>Table1[[#This Row],[Discount]]/100</f>
        <v>0.2</v>
      </c>
    </row>
    <row r="773" spans="1:19" x14ac:dyDescent="0.3">
      <c r="A773">
        <v>10772</v>
      </c>
      <c r="B773" s="1" t="s">
        <v>562</v>
      </c>
      <c r="C773" t="s">
        <v>222</v>
      </c>
      <c r="D773" t="s">
        <v>60</v>
      </c>
      <c r="E773" t="s">
        <v>61</v>
      </c>
      <c r="F773" t="s">
        <v>31</v>
      </c>
      <c r="G773" t="s">
        <v>124</v>
      </c>
      <c r="H773" t="s">
        <v>125</v>
      </c>
      <c r="I773">
        <v>8</v>
      </c>
      <c r="J773">
        <v>19616</v>
      </c>
      <c r="K773">
        <v>3623.56</v>
      </c>
      <c r="L773">
        <v>20</v>
      </c>
      <c r="M773" t="s">
        <v>20</v>
      </c>
      <c r="N773" t="str">
        <f>TEXT(Table1[[#This Row],[Order Date]],"MMMM")</f>
        <v>November</v>
      </c>
      <c r="O773">
        <f>YEAR(Table1[[#This Row],[Order Date]])</f>
        <v>2025</v>
      </c>
      <c r="P773" t="str">
        <f>"Q"&amp;ROUNDUP(MONTH(Table1[[#This Row],[Order Date]])/3,0)</f>
        <v>Q4</v>
      </c>
      <c r="Q773" s="3">
        <f>Table1[[#This Row],[Profit]]/Table1[[#This Row],[Sales]]</f>
        <v>0.18472471451876019</v>
      </c>
      <c r="R773" t="str">
        <f>IF(Table1[[#This Row],[Sales]]&lt;1000,"LOW",IF(Table1[[#This Row],[Sales]]&lt;5000,"MEDIUM","HIGH"))</f>
        <v>HIGH</v>
      </c>
      <c r="S773" s="2">
        <f>Table1[[#This Row],[Discount]]/100</f>
        <v>0.2</v>
      </c>
    </row>
    <row r="774" spans="1:19" x14ac:dyDescent="0.3">
      <c r="A774">
        <v>10773</v>
      </c>
      <c r="B774" s="1" t="s">
        <v>547</v>
      </c>
      <c r="C774" t="s">
        <v>315</v>
      </c>
      <c r="D774" t="s">
        <v>56</v>
      </c>
      <c r="E774" t="s">
        <v>57</v>
      </c>
      <c r="F774" t="s">
        <v>25</v>
      </c>
      <c r="G774" t="s">
        <v>95</v>
      </c>
      <c r="H774" t="s">
        <v>96</v>
      </c>
      <c r="I774">
        <v>6</v>
      </c>
      <c r="J774">
        <v>12636</v>
      </c>
      <c r="K774">
        <v>3262</v>
      </c>
      <c r="L774">
        <v>0</v>
      </c>
      <c r="M774" t="s">
        <v>20</v>
      </c>
      <c r="N774" t="str">
        <f>TEXT(Table1[[#This Row],[Order Date]],"MMMM")</f>
        <v>April</v>
      </c>
      <c r="O774">
        <f>YEAR(Table1[[#This Row],[Order Date]])</f>
        <v>2025</v>
      </c>
      <c r="P774" t="str">
        <f>"Q"&amp;ROUNDUP(MONTH(Table1[[#This Row],[Order Date]])/3,0)</f>
        <v>Q2</v>
      </c>
      <c r="Q774" s="3">
        <f>Table1[[#This Row],[Profit]]/Table1[[#This Row],[Sales]]</f>
        <v>0.25815131370686928</v>
      </c>
      <c r="R774" t="str">
        <f>IF(Table1[[#This Row],[Sales]]&lt;1000,"LOW",IF(Table1[[#This Row],[Sales]]&lt;5000,"MEDIUM","HIGH"))</f>
        <v>HIGH</v>
      </c>
      <c r="S774" s="2">
        <f>Table1[[#This Row],[Discount]]/100</f>
        <v>0</v>
      </c>
    </row>
    <row r="775" spans="1:19" x14ac:dyDescent="0.3">
      <c r="A775">
        <v>10774</v>
      </c>
      <c r="B775" s="1" t="s">
        <v>331</v>
      </c>
      <c r="C775" t="s">
        <v>424</v>
      </c>
      <c r="D775" t="s">
        <v>74</v>
      </c>
      <c r="E775" t="s">
        <v>74</v>
      </c>
      <c r="F775" t="s">
        <v>17</v>
      </c>
      <c r="G775" t="s">
        <v>18</v>
      </c>
      <c r="H775" t="s">
        <v>19</v>
      </c>
      <c r="I775">
        <v>5</v>
      </c>
      <c r="J775">
        <v>19585</v>
      </c>
      <c r="K775">
        <v>3109.75</v>
      </c>
      <c r="L775">
        <v>0</v>
      </c>
      <c r="M775" t="s">
        <v>45</v>
      </c>
      <c r="N775" t="str">
        <f>TEXT(Table1[[#This Row],[Order Date]],"MMMM")</f>
        <v>October</v>
      </c>
      <c r="O775">
        <f>YEAR(Table1[[#This Row],[Order Date]])</f>
        <v>2025</v>
      </c>
      <c r="P775" t="str">
        <f>"Q"&amp;ROUNDUP(MONTH(Table1[[#This Row],[Order Date]])/3,0)</f>
        <v>Q4</v>
      </c>
      <c r="Q775" s="3">
        <f>Table1[[#This Row],[Profit]]/Table1[[#This Row],[Sales]]</f>
        <v>0.15878223129946387</v>
      </c>
      <c r="R775" t="str">
        <f>IF(Table1[[#This Row],[Sales]]&lt;1000,"LOW",IF(Table1[[#This Row],[Sales]]&lt;5000,"MEDIUM","HIGH"))</f>
        <v>HIGH</v>
      </c>
      <c r="S775" s="2">
        <f>Table1[[#This Row],[Discount]]/100</f>
        <v>0</v>
      </c>
    </row>
    <row r="776" spans="1:19" x14ac:dyDescent="0.3">
      <c r="A776">
        <v>10775</v>
      </c>
      <c r="B776" s="1" t="s">
        <v>438</v>
      </c>
      <c r="C776" t="s">
        <v>103</v>
      </c>
      <c r="D776" t="s">
        <v>74</v>
      </c>
      <c r="E776" t="s">
        <v>74</v>
      </c>
      <c r="F776" t="s">
        <v>17</v>
      </c>
      <c r="G776" t="s">
        <v>43</v>
      </c>
      <c r="H776" t="s">
        <v>44</v>
      </c>
      <c r="I776">
        <v>8</v>
      </c>
      <c r="J776">
        <v>12825.6</v>
      </c>
      <c r="K776">
        <v>2821.29</v>
      </c>
      <c r="L776">
        <v>20</v>
      </c>
      <c r="M776" t="s">
        <v>20</v>
      </c>
      <c r="N776" t="str">
        <f>TEXT(Table1[[#This Row],[Order Date]],"MMMM")</f>
        <v>September</v>
      </c>
      <c r="O776">
        <f>YEAR(Table1[[#This Row],[Order Date]])</f>
        <v>2025</v>
      </c>
      <c r="P776" t="str">
        <f>"Q"&amp;ROUNDUP(MONTH(Table1[[#This Row],[Order Date]])/3,0)</f>
        <v>Q3</v>
      </c>
      <c r="Q776" s="3">
        <f>Table1[[#This Row],[Profit]]/Table1[[#This Row],[Sales]]</f>
        <v>0.21997333458083831</v>
      </c>
      <c r="R776" t="str">
        <f>IF(Table1[[#This Row],[Sales]]&lt;1000,"LOW",IF(Table1[[#This Row],[Sales]]&lt;5000,"MEDIUM","HIGH"))</f>
        <v>HIGH</v>
      </c>
      <c r="S776" s="2">
        <f>Table1[[#This Row],[Discount]]/100</f>
        <v>0.2</v>
      </c>
    </row>
    <row r="777" spans="1:19" x14ac:dyDescent="0.3">
      <c r="A777">
        <v>10776</v>
      </c>
      <c r="B777" s="1" t="s">
        <v>242</v>
      </c>
      <c r="C777" t="s">
        <v>250</v>
      </c>
      <c r="D777" t="s">
        <v>60</v>
      </c>
      <c r="E777" t="s">
        <v>61</v>
      </c>
      <c r="F777" t="s">
        <v>31</v>
      </c>
      <c r="G777" t="s">
        <v>89</v>
      </c>
      <c r="H777" t="s">
        <v>90</v>
      </c>
      <c r="I777">
        <v>6</v>
      </c>
      <c r="J777">
        <v>26919</v>
      </c>
      <c r="K777">
        <v>6778.65</v>
      </c>
      <c r="L777">
        <v>10</v>
      </c>
      <c r="M777" t="s">
        <v>40</v>
      </c>
      <c r="N777" t="str">
        <f>TEXT(Table1[[#This Row],[Order Date]],"MMMM")</f>
        <v>November</v>
      </c>
      <c r="O777">
        <f>YEAR(Table1[[#This Row],[Order Date]])</f>
        <v>2025</v>
      </c>
      <c r="P777" t="str">
        <f>"Q"&amp;ROUNDUP(MONTH(Table1[[#This Row],[Order Date]])/3,0)</f>
        <v>Q4</v>
      </c>
      <c r="Q777" s="3">
        <f>Table1[[#This Row],[Profit]]/Table1[[#This Row],[Sales]]</f>
        <v>0.25181656079349157</v>
      </c>
      <c r="R777" t="str">
        <f>IF(Table1[[#This Row],[Sales]]&lt;1000,"LOW",IF(Table1[[#This Row],[Sales]]&lt;5000,"MEDIUM","HIGH"))</f>
        <v>HIGH</v>
      </c>
      <c r="S777" s="2">
        <f>Table1[[#This Row],[Discount]]/100</f>
        <v>0.1</v>
      </c>
    </row>
    <row r="778" spans="1:19" x14ac:dyDescent="0.3">
      <c r="A778">
        <v>10777</v>
      </c>
      <c r="B778" s="1" t="s">
        <v>555</v>
      </c>
      <c r="C778" t="s">
        <v>68</v>
      </c>
      <c r="D778" t="s">
        <v>60</v>
      </c>
      <c r="E778" t="s">
        <v>61</v>
      </c>
      <c r="F778" t="s">
        <v>31</v>
      </c>
      <c r="G778" t="s">
        <v>38</v>
      </c>
      <c r="H778" t="s">
        <v>39</v>
      </c>
      <c r="I778">
        <v>4</v>
      </c>
      <c r="J778">
        <v>13824</v>
      </c>
      <c r="K778">
        <v>3002.26</v>
      </c>
      <c r="L778">
        <v>0</v>
      </c>
      <c r="M778" t="s">
        <v>45</v>
      </c>
      <c r="N778" t="str">
        <f>TEXT(Table1[[#This Row],[Order Date]],"MMMM")</f>
        <v>November</v>
      </c>
      <c r="O778">
        <f>YEAR(Table1[[#This Row],[Order Date]])</f>
        <v>2025</v>
      </c>
      <c r="P778" t="str">
        <f>"Q"&amp;ROUNDUP(MONTH(Table1[[#This Row],[Order Date]])/3,0)</f>
        <v>Q4</v>
      </c>
      <c r="Q778" s="3">
        <f>Table1[[#This Row],[Profit]]/Table1[[#This Row],[Sales]]</f>
        <v>0.21717737268518519</v>
      </c>
      <c r="R778" t="str">
        <f>IF(Table1[[#This Row],[Sales]]&lt;1000,"LOW",IF(Table1[[#This Row],[Sales]]&lt;5000,"MEDIUM","HIGH"))</f>
        <v>HIGH</v>
      </c>
      <c r="S778" s="2">
        <f>Table1[[#This Row],[Discount]]/100</f>
        <v>0</v>
      </c>
    </row>
    <row r="779" spans="1:19" x14ac:dyDescent="0.3">
      <c r="A779">
        <v>10778</v>
      </c>
      <c r="B779" s="1" t="s">
        <v>147</v>
      </c>
      <c r="C779" t="s">
        <v>160</v>
      </c>
      <c r="D779" t="s">
        <v>74</v>
      </c>
      <c r="E779" t="s">
        <v>74</v>
      </c>
      <c r="F779" t="s">
        <v>31</v>
      </c>
      <c r="G779" t="s">
        <v>38</v>
      </c>
      <c r="H779" t="s">
        <v>39</v>
      </c>
      <c r="I779">
        <v>5</v>
      </c>
      <c r="J779">
        <v>19760</v>
      </c>
      <c r="K779">
        <v>4153.1899999999996</v>
      </c>
      <c r="L779">
        <v>20</v>
      </c>
      <c r="M779" t="s">
        <v>20</v>
      </c>
      <c r="N779" t="str">
        <f>TEXT(Table1[[#This Row],[Order Date]],"MMMM")</f>
        <v>March</v>
      </c>
      <c r="O779">
        <f>YEAR(Table1[[#This Row],[Order Date]])</f>
        <v>2025</v>
      </c>
      <c r="P779" t="str">
        <f>"Q"&amp;ROUNDUP(MONTH(Table1[[#This Row],[Order Date]])/3,0)</f>
        <v>Q1</v>
      </c>
      <c r="Q779" s="3">
        <f>Table1[[#This Row],[Profit]]/Table1[[#This Row],[Sales]]</f>
        <v>0.2101816801619433</v>
      </c>
      <c r="R779" t="str">
        <f>IF(Table1[[#This Row],[Sales]]&lt;1000,"LOW",IF(Table1[[#This Row],[Sales]]&lt;5000,"MEDIUM","HIGH"))</f>
        <v>HIGH</v>
      </c>
      <c r="S779" s="2">
        <f>Table1[[#This Row],[Discount]]/100</f>
        <v>0.2</v>
      </c>
    </row>
    <row r="780" spans="1:19" x14ac:dyDescent="0.3">
      <c r="A780">
        <v>10779</v>
      </c>
      <c r="B780" s="1" t="s">
        <v>190</v>
      </c>
      <c r="C780" t="s">
        <v>469</v>
      </c>
      <c r="D780" t="s">
        <v>56</v>
      </c>
      <c r="E780" t="s">
        <v>57</v>
      </c>
      <c r="F780" t="s">
        <v>31</v>
      </c>
      <c r="G780" t="s">
        <v>89</v>
      </c>
      <c r="H780" t="s">
        <v>90</v>
      </c>
      <c r="I780">
        <v>1</v>
      </c>
      <c r="J780">
        <v>1621.6</v>
      </c>
      <c r="K780">
        <v>220.9</v>
      </c>
      <c r="L780">
        <v>20</v>
      </c>
      <c r="M780" t="s">
        <v>49</v>
      </c>
      <c r="N780" t="str">
        <f>TEXT(Table1[[#This Row],[Order Date]],"MMMM")</f>
        <v>September</v>
      </c>
      <c r="O780">
        <f>YEAR(Table1[[#This Row],[Order Date]])</f>
        <v>2025</v>
      </c>
      <c r="P780" t="str">
        <f>"Q"&amp;ROUNDUP(MONTH(Table1[[#This Row],[Order Date]])/3,0)</f>
        <v>Q3</v>
      </c>
      <c r="Q780" s="3">
        <f>Table1[[#This Row],[Profit]]/Table1[[#This Row],[Sales]]</f>
        <v>0.13622348297977308</v>
      </c>
      <c r="R780" t="str">
        <f>IF(Table1[[#This Row],[Sales]]&lt;1000,"LOW",IF(Table1[[#This Row],[Sales]]&lt;5000,"MEDIUM","HIGH"))</f>
        <v>MEDIUM</v>
      </c>
      <c r="S780" s="2">
        <f>Table1[[#This Row],[Discount]]/100</f>
        <v>0.2</v>
      </c>
    </row>
    <row r="781" spans="1:19" x14ac:dyDescent="0.3">
      <c r="A781">
        <v>10780</v>
      </c>
      <c r="B781" s="1" t="s">
        <v>159</v>
      </c>
      <c r="C781" t="s">
        <v>182</v>
      </c>
      <c r="D781" t="s">
        <v>56</v>
      </c>
      <c r="E781" t="s">
        <v>57</v>
      </c>
      <c r="F781" t="s">
        <v>17</v>
      </c>
      <c r="G781" t="s">
        <v>43</v>
      </c>
      <c r="H781" t="s">
        <v>44</v>
      </c>
      <c r="I781">
        <v>7</v>
      </c>
      <c r="J781">
        <v>15160.6</v>
      </c>
      <c r="K781">
        <v>4533.93</v>
      </c>
      <c r="L781">
        <v>15</v>
      </c>
      <c r="M781" t="s">
        <v>28</v>
      </c>
      <c r="N781" t="str">
        <f>TEXT(Table1[[#This Row],[Order Date]],"MMMM")</f>
        <v>May</v>
      </c>
      <c r="O781">
        <f>YEAR(Table1[[#This Row],[Order Date]])</f>
        <v>2025</v>
      </c>
      <c r="P781" t="str">
        <f>"Q"&amp;ROUNDUP(MONTH(Table1[[#This Row],[Order Date]])/3,0)</f>
        <v>Q2</v>
      </c>
      <c r="Q781" s="3">
        <f>Table1[[#This Row],[Profit]]/Table1[[#This Row],[Sales]]</f>
        <v>0.29906006358587395</v>
      </c>
      <c r="R781" t="str">
        <f>IF(Table1[[#This Row],[Sales]]&lt;1000,"LOW",IF(Table1[[#This Row],[Sales]]&lt;5000,"MEDIUM","HIGH"))</f>
        <v>HIGH</v>
      </c>
      <c r="S781" s="2">
        <f>Table1[[#This Row],[Discount]]/100</f>
        <v>0.15</v>
      </c>
    </row>
    <row r="782" spans="1:19" x14ac:dyDescent="0.3">
      <c r="A782">
        <v>10781</v>
      </c>
      <c r="B782" s="1" t="s">
        <v>563</v>
      </c>
      <c r="C782" t="s">
        <v>78</v>
      </c>
      <c r="D782" t="s">
        <v>56</v>
      </c>
      <c r="E782" t="s">
        <v>57</v>
      </c>
      <c r="F782" t="s">
        <v>17</v>
      </c>
      <c r="G782" t="s">
        <v>75</v>
      </c>
      <c r="H782" t="s">
        <v>76</v>
      </c>
      <c r="I782">
        <v>7</v>
      </c>
      <c r="J782">
        <v>17899</v>
      </c>
      <c r="K782">
        <v>1853.08</v>
      </c>
      <c r="L782">
        <v>0</v>
      </c>
      <c r="M782" t="s">
        <v>28</v>
      </c>
      <c r="N782" t="str">
        <f>TEXT(Table1[[#This Row],[Order Date]],"MMMM")</f>
        <v>April</v>
      </c>
      <c r="O782">
        <f>YEAR(Table1[[#This Row],[Order Date]])</f>
        <v>2025</v>
      </c>
      <c r="P782" t="str">
        <f>"Q"&amp;ROUNDUP(MONTH(Table1[[#This Row],[Order Date]])/3,0)</f>
        <v>Q2</v>
      </c>
      <c r="Q782" s="3">
        <f>Table1[[#This Row],[Profit]]/Table1[[#This Row],[Sales]]</f>
        <v>0.10352980613442091</v>
      </c>
      <c r="R782" t="str">
        <f>IF(Table1[[#This Row],[Sales]]&lt;1000,"LOW",IF(Table1[[#This Row],[Sales]]&lt;5000,"MEDIUM","HIGH"))</f>
        <v>HIGH</v>
      </c>
      <c r="S782" s="2">
        <f>Table1[[#This Row],[Discount]]/100</f>
        <v>0</v>
      </c>
    </row>
    <row r="783" spans="1:19" x14ac:dyDescent="0.3">
      <c r="A783">
        <v>10782</v>
      </c>
      <c r="B783" s="1" t="s">
        <v>375</v>
      </c>
      <c r="C783" t="s">
        <v>92</v>
      </c>
      <c r="D783" t="s">
        <v>36</v>
      </c>
      <c r="E783" t="s">
        <v>37</v>
      </c>
      <c r="F783" t="s">
        <v>17</v>
      </c>
      <c r="G783" t="s">
        <v>18</v>
      </c>
      <c r="H783" t="s">
        <v>19</v>
      </c>
      <c r="I783">
        <v>2</v>
      </c>
      <c r="J783">
        <v>6715.2</v>
      </c>
      <c r="K783">
        <v>1845.14</v>
      </c>
      <c r="L783">
        <v>20</v>
      </c>
      <c r="M783" t="s">
        <v>45</v>
      </c>
      <c r="N783" t="str">
        <f>TEXT(Table1[[#This Row],[Order Date]],"MMMM")</f>
        <v>June</v>
      </c>
      <c r="O783">
        <f>YEAR(Table1[[#This Row],[Order Date]])</f>
        <v>2025</v>
      </c>
      <c r="P783" t="str">
        <f>"Q"&amp;ROUNDUP(MONTH(Table1[[#This Row],[Order Date]])/3,0)</f>
        <v>Q2</v>
      </c>
      <c r="Q783" s="3">
        <f>Table1[[#This Row],[Profit]]/Table1[[#This Row],[Sales]]</f>
        <v>0.27477066952585183</v>
      </c>
      <c r="R783" t="str">
        <f>IF(Table1[[#This Row],[Sales]]&lt;1000,"LOW",IF(Table1[[#This Row],[Sales]]&lt;5000,"MEDIUM","HIGH"))</f>
        <v>HIGH</v>
      </c>
      <c r="S783" s="2">
        <f>Table1[[#This Row],[Discount]]/100</f>
        <v>0.2</v>
      </c>
    </row>
    <row r="784" spans="1:19" x14ac:dyDescent="0.3">
      <c r="A784">
        <v>10783</v>
      </c>
      <c r="B784" s="1" t="s">
        <v>128</v>
      </c>
      <c r="C784" t="s">
        <v>127</v>
      </c>
      <c r="D784" t="s">
        <v>36</v>
      </c>
      <c r="E784" t="s">
        <v>37</v>
      </c>
      <c r="F784" t="s">
        <v>31</v>
      </c>
      <c r="G784" t="s">
        <v>124</v>
      </c>
      <c r="H784" t="s">
        <v>125</v>
      </c>
      <c r="I784">
        <v>1</v>
      </c>
      <c r="J784">
        <v>1280.8</v>
      </c>
      <c r="K784">
        <v>339.47</v>
      </c>
      <c r="L784">
        <v>20</v>
      </c>
      <c r="M784" t="s">
        <v>49</v>
      </c>
      <c r="N784" t="str">
        <f>TEXT(Table1[[#This Row],[Order Date]],"MMMM")</f>
        <v>November</v>
      </c>
      <c r="O784">
        <f>YEAR(Table1[[#This Row],[Order Date]])</f>
        <v>2025</v>
      </c>
      <c r="P784" t="str">
        <f>"Q"&amp;ROUNDUP(MONTH(Table1[[#This Row],[Order Date]])/3,0)</f>
        <v>Q4</v>
      </c>
      <c r="Q784" s="3">
        <f>Table1[[#This Row],[Profit]]/Table1[[#This Row],[Sales]]</f>
        <v>0.26504528419737666</v>
      </c>
      <c r="R784" t="str">
        <f>IF(Table1[[#This Row],[Sales]]&lt;1000,"LOW",IF(Table1[[#This Row],[Sales]]&lt;5000,"MEDIUM","HIGH"))</f>
        <v>MEDIUM</v>
      </c>
      <c r="S784" s="2">
        <f>Table1[[#This Row],[Discount]]/100</f>
        <v>0.2</v>
      </c>
    </row>
    <row r="785" spans="1:19" x14ac:dyDescent="0.3">
      <c r="A785">
        <v>10784</v>
      </c>
      <c r="B785" s="1" t="s">
        <v>260</v>
      </c>
      <c r="C785" t="s">
        <v>150</v>
      </c>
      <c r="D785" t="s">
        <v>52</v>
      </c>
      <c r="E785" t="s">
        <v>53</v>
      </c>
      <c r="F785" t="s">
        <v>17</v>
      </c>
      <c r="G785" t="s">
        <v>18</v>
      </c>
      <c r="H785" t="s">
        <v>19</v>
      </c>
      <c r="I785">
        <v>4</v>
      </c>
      <c r="J785">
        <v>5756.8</v>
      </c>
      <c r="K785">
        <v>1589.65</v>
      </c>
      <c r="L785">
        <v>20</v>
      </c>
      <c r="M785" t="s">
        <v>45</v>
      </c>
      <c r="N785" t="str">
        <f>TEXT(Table1[[#This Row],[Order Date]],"MMMM")</f>
        <v>April</v>
      </c>
      <c r="O785">
        <f>YEAR(Table1[[#This Row],[Order Date]])</f>
        <v>2025</v>
      </c>
      <c r="P785" t="str">
        <f>"Q"&amp;ROUNDUP(MONTH(Table1[[#This Row],[Order Date]])/3,0)</f>
        <v>Q2</v>
      </c>
      <c r="Q785" s="3">
        <f>Table1[[#This Row],[Profit]]/Table1[[#This Row],[Sales]]</f>
        <v>0.27613431072818234</v>
      </c>
      <c r="R785" t="str">
        <f>IF(Table1[[#This Row],[Sales]]&lt;1000,"LOW",IF(Table1[[#This Row],[Sales]]&lt;5000,"MEDIUM","HIGH"))</f>
        <v>HIGH</v>
      </c>
      <c r="S785" s="2">
        <f>Table1[[#This Row],[Discount]]/100</f>
        <v>0.2</v>
      </c>
    </row>
    <row r="786" spans="1:19" x14ac:dyDescent="0.3">
      <c r="A786">
        <v>10785</v>
      </c>
      <c r="B786" s="1" t="s">
        <v>434</v>
      </c>
      <c r="C786" t="s">
        <v>269</v>
      </c>
      <c r="D786" t="s">
        <v>60</v>
      </c>
      <c r="E786" t="s">
        <v>61</v>
      </c>
      <c r="F786" t="s">
        <v>25</v>
      </c>
      <c r="G786" t="s">
        <v>26</v>
      </c>
      <c r="H786" t="s">
        <v>48</v>
      </c>
      <c r="I786">
        <v>2</v>
      </c>
      <c r="J786">
        <v>2900.8</v>
      </c>
      <c r="K786">
        <v>387.81</v>
      </c>
      <c r="L786">
        <v>20</v>
      </c>
      <c r="M786" t="s">
        <v>49</v>
      </c>
      <c r="N786" t="str">
        <f>TEXT(Table1[[#This Row],[Order Date]],"MMMM")</f>
        <v>June</v>
      </c>
      <c r="O786">
        <f>YEAR(Table1[[#This Row],[Order Date]])</f>
        <v>2025</v>
      </c>
      <c r="P786" t="str">
        <f>"Q"&amp;ROUNDUP(MONTH(Table1[[#This Row],[Order Date]])/3,0)</f>
        <v>Q2</v>
      </c>
      <c r="Q786" s="3">
        <f>Table1[[#This Row],[Profit]]/Table1[[#This Row],[Sales]]</f>
        <v>0.13369070601213456</v>
      </c>
      <c r="R786" t="str">
        <f>IF(Table1[[#This Row],[Sales]]&lt;1000,"LOW",IF(Table1[[#This Row],[Sales]]&lt;5000,"MEDIUM","HIGH"))</f>
        <v>MEDIUM</v>
      </c>
      <c r="S786" s="2">
        <f>Table1[[#This Row],[Discount]]/100</f>
        <v>0.2</v>
      </c>
    </row>
    <row r="787" spans="1:19" x14ac:dyDescent="0.3">
      <c r="A787">
        <v>10786</v>
      </c>
      <c r="B787" s="1" t="s">
        <v>348</v>
      </c>
      <c r="C787" t="s">
        <v>184</v>
      </c>
      <c r="D787" t="s">
        <v>52</v>
      </c>
      <c r="E787" t="s">
        <v>53</v>
      </c>
      <c r="F787" t="s">
        <v>25</v>
      </c>
      <c r="G787" t="s">
        <v>26</v>
      </c>
      <c r="H787" t="s">
        <v>27</v>
      </c>
      <c r="I787">
        <v>5</v>
      </c>
      <c r="J787">
        <v>1635</v>
      </c>
      <c r="K787">
        <v>273.82</v>
      </c>
      <c r="L787">
        <v>0</v>
      </c>
      <c r="M787" t="s">
        <v>28</v>
      </c>
      <c r="N787" t="str">
        <f>TEXT(Table1[[#This Row],[Order Date]],"MMMM")</f>
        <v>December</v>
      </c>
      <c r="O787">
        <f>YEAR(Table1[[#This Row],[Order Date]])</f>
        <v>2025</v>
      </c>
      <c r="P787" t="str">
        <f>"Q"&amp;ROUNDUP(MONTH(Table1[[#This Row],[Order Date]])/3,0)</f>
        <v>Q4</v>
      </c>
      <c r="Q787" s="3">
        <f>Table1[[#This Row],[Profit]]/Table1[[#This Row],[Sales]]</f>
        <v>0.16747400611620794</v>
      </c>
      <c r="R787" t="str">
        <f>IF(Table1[[#This Row],[Sales]]&lt;1000,"LOW",IF(Table1[[#This Row],[Sales]]&lt;5000,"MEDIUM","HIGH"))</f>
        <v>MEDIUM</v>
      </c>
      <c r="S787" s="2">
        <f>Table1[[#This Row],[Discount]]/100</f>
        <v>0</v>
      </c>
    </row>
    <row r="788" spans="1:19" x14ac:dyDescent="0.3">
      <c r="A788">
        <v>10787</v>
      </c>
      <c r="B788" s="1" t="s">
        <v>108</v>
      </c>
      <c r="C788" t="s">
        <v>255</v>
      </c>
      <c r="D788" t="s">
        <v>23</v>
      </c>
      <c r="E788" t="s">
        <v>24</v>
      </c>
      <c r="F788" t="s">
        <v>31</v>
      </c>
      <c r="G788" t="s">
        <v>124</v>
      </c>
      <c r="H788" t="s">
        <v>125</v>
      </c>
      <c r="I788">
        <v>4</v>
      </c>
      <c r="J788">
        <v>9133.2000000000007</v>
      </c>
      <c r="K788">
        <v>1163.47</v>
      </c>
      <c r="L788">
        <v>10</v>
      </c>
      <c r="M788" t="s">
        <v>45</v>
      </c>
      <c r="N788" t="str">
        <f>TEXT(Table1[[#This Row],[Order Date]],"MMMM")</f>
        <v>May</v>
      </c>
      <c r="O788">
        <f>YEAR(Table1[[#This Row],[Order Date]])</f>
        <v>2025</v>
      </c>
      <c r="P788" t="str">
        <f>"Q"&amp;ROUNDUP(MONTH(Table1[[#This Row],[Order Date]])/3,0)</f>
        <v>Q2</v>
      </c>
      <c r="Q788" s="3">
        <f>Table1[[#This Row],[Profit]]/Table1[[#This Row],[Sales]]</f>
        <v>0.12738908597205797</v>
      </c>
      <c r="R788" t="str">
        <f>IF(Table1[[#This Row],[Sales]]&lt;1000,"LOW",IF(Table1[[#This Row],[Sales]]&lt;5000,"MEDIUM","HIGH"))</f>
        <v>HIGH</v>
      </c>
      <c r="S788" s="2">
        <f>Table1[[#This Row],[Discount]]/100</f>
        <v>0.1</v>
      </c>
    </row>
    <row r="789" spans="1:19" x14ac:dyDescent="0.3">
      <c r="A789">
        <v>10788</v>
      </c>
      <c r="B789" s="1" t="s">
        <v>91</v>
      </c>
      <c r="C789" t="s">
        <v>55</v>
      </c>
      <c r="D789" t="s">
        <v>66</v>
      </c>
      <c r="E789" t="s">
        <v>16</v>
      </c>
      <c r="F789" t="s">
        <v>31</v>
      </c>
      <c r="G789" t="s">
        <v>89</v>
      </c>
      <c r="H789" t="s">
        <v>90</v>
      </c>
      <c r="I789">
        <v>2</v>
      </c>
      <c r="J789">
        <v>3155.4</v>
      </c>
      <c r="K789">
        <v>685.26</v>
      </c>
      <c r="L789">
        <v>10</v>
      </c>
      <c r="M789" t="s">
        <v>40</v>
      </c>
      <c r="N789" t="str">
        <f>TEXT(Table1[[#This Row],[Order Date]],"MMMM")</f>
        <v>April</v>
      </c>
      <c r="O789">
        <f>YEAR(Table1[[#This Row],[Order Date]])</f>
        <v>2025</v>
      </c>
      <c r="P789" t="str">
        <f>"Q"&amp;ROUNDUP(MONTH(Table1[[#This Row],[Order Date]])/3,0)</f>
        <v>Q2</v>
      </c>
      <c r="Q789" s="3">
        <f>Table1[[#This Row],[Profit]]/Table1[[#This Row],[Sales]]</f>
        <v>0.21717056474614946</v>
      </c>
      <c r="R789" t="str">
        <f>IF(Table1[[#This Row],[Sales]]&lt;1000,"LOW",IF(Table1[[#This Row],[Sales]]&lt;5000,"MEDIUM","HIGH"))</f>
        <v>MEDIUM</v>
      </c>
      <c r="S789" s="2">
        <f>Table1[[#This Row],[Discount]]/100</f>
        <v>0.1</v>
      </c>
    </row>
    <row r="790" spans="1:19" x14ac:dyDescent="0.3">
      <c r="A790">
        <v>10789</v>
      </c>
      <c r="B790" s="1" t="s">
        <v>551</v>
      </c>
      <c r="C790" t="s">
        <v>63</v>
      </c>
      <c r="D790" t="s">
        <v>15</v>
      </c>
      <c r="E790" t="s">
        <v>16</v>
      </c>
      <c r="F790" t="s">
        <v>31</v>
      </c>
      <c r="G790" t="s">
        <v>32</v>
      </c>
      <c r="H790" t="s">
        <v>33</v>
      </c>
      <c r="I790">
        <v>8</v>
      </c>
      <c r="J790">
        <v>1223.5999999999999</v>
      </c>
      <c r="K790">
        <v>249.28</v>
      </c>
      <c r="L790">
        <v>5</v>
      </c>
      <c r="M790" t="s">
        <v>28</v>
      </c>
      <c r="N790" t="str">
        <f>TEXT(Table1[[#This Row],[Order Date]],"MMMM")</f>
        <v>December</v>
      </c>
      <c r="O790">
        <f>YEAR(Table1[[#This Row],[Order Date]])</f>
        <v>2025</v>
      </c>
      <c r="P790" t="str">
        <f>"Q"&amp;ROUNDUP(MONTH(Table1[[#This Row],[Order Date]])/3,0)</f>
        <v>Q4</v>
      </c>
      <c r="Q790" s="3">
        <f>Table1[[#This Row],[Profit]]/Table1[[#This Row],[Sales]]</f>
        <v>0.20372670807453419</v>
      </c>
      <c r="R790" t="str">
        <f>IF(Table1[[#This Row],[Sales]]&lt;1000,"LOW",IF(Table1[[#This Row],[Sales]]&lt;5000,"MEDIUM","HIGH"))</f>
        <v>MEDIUM</v>
      </c>
      <c r="S790" s="2">
        <f>Table1[[#This Row],[Discount]]/100</f>
        <v>0.05</v>
      </c>
    </row>
    <row r="791" spans="1:19" x14ac:dyDescent="0.3">
      <c r="A791">
        <v>10790</v>
      </c>
      <c r="B791" s="1" t="s">
        <v>97</v>
      </c>
      <c r="C791" t="s">
        <v>203</v>
      </c>
      <c r="D791" t="s">
        <v>15</v>
      </c>
      <c r="E791" t="s">
        <v>16</v>
      </c>
      <c r="F791" t="s">
        <v>25</v>
      </c>
      <c r="G791" t="s">
        <v>26</v>
      </c>
      <c r="H791" t="s">
        <v>27</v>
      </c>
      <c r="I791">
        <v>6</v>
      </c>
      <c r="J791">
        <v>9489.6</v>
      </c>
      <c r="K791">
        <v>1281.2</v>
      </c>
      <c r="L791">
        <v>20</v>
      </c>
      <c r="M791" t="s">
        <v>20</v>
      </c>
      <c r="N791" t="str">
        <f>TEXT(Table1[[#This Row],[Order Date]],"MMMM")</f>
        <v>May</v>
      </c>
      <c r="O791">
        <f>YEAR(Table1[[#This Row],[Order Date]])</f>
        <v>2025</v>
      </c>
      <c r="P791" t="str">
        <f>"Q"&amp;ROUNDUP(MONTH(Table1[[#This Row],[Order Date]])/3,0)</f>
        <v>Q2</v>
      </c>
      <c r="Q791" s="3">
        <f>Table1[[#This Row],[Profit]]/Table1[[#This Row],[Sales]]</f>
        <v>0.13501095936604282</v>
      </c>
      <c r="R791" t="str">
        <f>IF(Table1[[#This Row],[Sales]]&lt;1000,"LOW",IF(Table1[[#This Row],[Sales]]&lt;5000,"MEDIUM","HIGH"))</f>
        <v>HIGH</v>
      </c>
      <c r="S791" s="2">
        <f>Table1[[#This Row],[Discount]]/100</f>
        <v>0.2</v>
      </c>
    </row>
    <row r="792" spans="1:19" x14ac:dyDescent="0.3">
      <c r="A792">
        <v>10791</v>
      </c>
      <c r="B792" s="1" t="s">
        <v>128</v>
      </c>
      <c r="C792" t="s">
        <v>301</v>
      </c>
      <c r="D792" t="s">
        <v>36</v>
      </c>
      <c r="E792" t="s">
        <v>37</v>
      </c>
      <c r="F792" t="s">
        <v>17</v>
      </c>
      <c r="G792" t="s">
        <v>75</v>
      </c>
      <c r="H792" t="s">
        <v>116</v>
      </c>
      <c r="I792">
        <v>4</v>
      </c>
      <c r="J792">
        <v>4120.8</v>
      </c>
      <c r="K792">
        <v>825.92</v>
      </c>
      <c r="L792">
        <v>15</v>
      </c>
      <c r="M792" t="s">
        <v>45</v>
      </c>
      <c r="N792" t="str">
        <f>TEXT(Table1[[#This Row],[Order Date]],"MMMM")</f>
        <v>November</v>
      </c>
      <c r="O792">
        <f>YEAR(Table1[[#This Row],[Order Date]])</f>
        <v>2025</v>
      </c>
      <c r="P792" t="str">
        <f>"Q"&amp;ROUNDUP(MONTH(Table1[[#This Row],[Order Date]])/3,0)</f>
        <v>Q4</v>
      </c>
      <c r="Q792" s="3">
        <f>Table1[[#This Row],[Profit]]/Table1[[#This Row],[Sales]]</f>
        <v>0.20042710153368276</v>
      </c>
      <c r="R792" t="str">
        <f>IF(Table1[[#This Row],[Sales]]&lt;1000,"LOW",IF(Table1[[#This Row],[Sales]]&lt;5000,"MEDIUM","HIGH"))</f>
        <v>MEDIUM</v>
      </c>
      <c r="S792" s="2">
        <f>Table1[[#This Row],[Discount]]/100</f>
        <v>0.15</v>
      </c>
    </row>
    <row r="793" spans="1:19" x14ac:dyDescent="0.3">
      <c r="A793">
        <v>10792</v>
      </c>
      <c r="B793" s="1" t="s">
        <v>106</v>
      </c>
      <c r="C793" t="s">
        <v>111</v>
      </c>
      <c r="D793" t="s">
        <v>23</v>
      </c>
      <c r="E793" t="s">
        <v>24</v>
      </c>
      <c r="F793" t="s">
        <v>17</v>
      </c>
      <c r="G793" t="s">
        <v>43</v>
      </c>
      <c r="H793" t="s">
        <v>44</v>
      </c>
      <c r="I793">
        <v>5</v>
      </c>
      <c r="J793">
        <v>5314.5</v>
      </c>
      <c r="K793">
        <v>853.86</v>
      </c>
      <c r="L793">
        <v>10</v>
      </c>
      <c r="M793" t="s">
        <v>49</v>
      </c>
      <c r="N793" t="str">
        <f>TEXT(Table1[[#This Row],[Order Date]],"MMMM")</f>
        <v>September</v>
      </c>
      <c r="O793">
        <f>YEAR(Table1[[#This Row],[Order Date]])</f>
        <v>2025</v>
      </c>
      <c r="P793" t="str">
        <f>"Q"&amp;ROUNDUP(MONTH(Table1[[#This Row],[Order Date]])/3,0)</f>
        <v>Q3</v>
      </c>
      <c r="Q793" s="3">
        <f>Table1[[#This Row],[Profit]]/Table1[[#This Row],[Sales]]</f>
        <v>0.16066610217329946</v>
      </c>
      <c r="R793" t="str">
        <f>IF(Table1[[#This Row],[Sales]]&lt;1000,"LOW",IF(Table1[[#This Row],[Sales]]&lt;5000,"MEDIUM","HIGH"))</f>
        <v>HIGH</v>
      </c>
      <c r="S793" s="2">
        <f>Table1[[#This Row],[Discount]]/100</f>
        <v>0.1</v>
      </c>
    </row>
    <row r="794" spans="1:19" x14ac:dyDescent="0.3">
      <c r="A794">
        <v>10793</v>
      </c>
      <c r="B794" s="1" t="s">
        <v>537</v>
      </c>
      <c r="C794" t="s">
        <v>322</v>
      </c>
      <c r="D794" t="s">
        <v>66</v>
      </c>
      <c r="E794" t="s">
        <v>16</v>
      </c>
      <c r="F794" t="s">
        <v>25</v>
      </c>
      <c r="G794" t="s">
        <v>26</v>
      </c>
      <c r="H794" t="s">
        <v>27</v>
      </c>
      <c r="I794">
        <v>5</v>
      </c>
      <c r="J794">
        <v>21445</v>
      </c>
      <c r="K794">
        <v>6271.98</v>
      </c>
      <c r="L794">
        <v>0</v>
      </c>
      <c r="M794" t="s">
        <v>20</v>
      </c>
      <c r="N794" t="str">
        <f>TEXT(Table1[[#This Row],[Order Date]],"MMMM")</f>
        <v>July</v>
      </c>
      <c r="O794">
        <f>YEAR(Table1[[#This Row],[Order Date]])</f>
        <v>2025</v>
      </c>
      <c r="P794" t="str">
        <f>"Q"&amp;ROUNDUP(MONTH(Table1[[#This Row],[Order Date]])/3,0)</f>
        <v>Q3</v>
      </c>
      <c r="Q794" s="3">
        <f>Table1[[#This Row],[Profit]]/Table1[[#This Row],[Sales]]</f>
        <v>0.29246817439962691</v>
      </c>
      <c r="R794" t="str">
        <f>IF(Table1[[#This Row],[Sales]]&lt;1000,"LOW",IF(Table1[[#This Row],[Sales]]&lt;5000,"MEDIUM","HIGH"))</f>
        <v>HIGH</v>
      </c>
      <c r="S794" s="2">
        <f>Table1[[#This Row],[Discount]]/100</f>
        <v>0</v>
      </c>
    </row>
    <row r="795" spans="1:19" x14ac:dyDescent="0.3">
      <c r="A795">
        <v>10794</v>
      </c>
      <c r="B795" s="1" t="s">
        <v>564</v>
      </c>
      <c r="C795" t="s">
        <v>419</v>
      </c>
      <c r="D795" t="s">
        <v>15</v>
      </c>
      <c r="E795" t="s">
        <v>16</v>
      </c>
      <c r="F795" t="s">
        <v>31</v>
      </c>
      <c r="G795" t="s">
        <v>38</v>
      </c>
      <c r="H795" t="s">
        <v>39</v>
      </c>
      <c r="I795">
        <v>8</v>
      </c>
      <c r="J795">
        <v>19792</v>
      </c>
      <c r="K795">
        <v>3396.47</v>
      </c>
      <c r="L795">
        <v>0</v>
      </c>
      <c r="M795" t="s">
        <v>28</v>
      </c>
      <c r="N795" t="str">
        <f>TEXT(Table1[[#This Row],[Order Date]],"MMMM")</f>
        <v>April</v>
      </c>
      <c r="O795">
        <f>YEAR(Table1[[#This Row],[Order Date]])</f>
        <v>2025</v>
      </c>
      <c r="P795" t="str">
        <f>"Q"&amp;ROUNDUP(MONTH(Table1[[#This Row],[Order Date]])/3,0)</f>
        <v>Q2</v>
      </c>
      <c r="Q795" s="3">
        <f>Table1[[#This Row],[Profit]]/Table1[[#This Row],[Sales]]</f>
        <v>0.17160822554567501</v>
      </c>
      <c r="R795" t="str">
        <f>IF(Table1[[#This Row],[Sales]]&lt;1000,"LOW",IF(Table1[[#This Row],[Sales]]&lt;5000,"MEDIUM","HIGH"))</f>
        <v>HIGH</v>
      </c>
      <c r="S795" s="2">
        <f>Table1[[#This Row],[Discount]]/100</f>
        <v>0</v>
      </c>
    </row>
    <row r="796" spans="1:19" x14ac:dyDescent="0.3">
      <c r="A796">
        <v>10795</v>
      </c>
      <c r="B796" s="1" t="s">
        <v>106</v>
      </c>
      <c r="C796" t="s">
        <v>510</v>
      </c>
      <c r="D796" t="s">
        <v>15</v>
      </c>
      <c r="E796" t="s">
        <v>16</v>
      </c>
      <c r="F796" t="s">
        <v>25</v>
      </c>
      <c r="G796" t="s">
        <v>26</v>
      </c>
      <c r="H796" t="s">
        <v>27</v>
      </c>
      <c r="I796">
        <v>3</v>
      </c>
      <c r="J796">
        <v>8134.5</v>
      </c>
      <c r="K796">
        <v>719.21</v>
      </c>
      <c r="L796">
        <v>15</v>
      </c>
      <c r="M796" t="s">
        <v>20</v>
      </c>
      <c r="N796" t="str">
        <f>TEXT(Table1[[#This Row],[Order Date]],"MMMM")</f>
        <v>September</v>
      </c>
      <c r="O796">
        <f>YEAR(Table1[[#This Row],[Order Date]])</f>
        <v>2025</v>
      </c>
      <c r="P796" t="str">
        <f>"Q"&amp;ROUNDUP(MONTH(Table1[[#This Row],[Order Date]])/3,0)</f>
        <v>Q3</v>
      </c>
      <c r="Q796" s="3">
        <f>Table1[[#This Row],[Profit]]/Table1[[#This Row],[Sales]]</f>
        <v>8.8414776568934789E-2</v>
      </c>
      <c r="R796" t="str">
        <f>IF(Table1[[#This Row],[Sales]]&lt;1000,"LOW",IF(Table1[[#This Row],[Sales]]&lt;5000,"MEDIUM","HIGH"))</f>
        <v>HIGH</v>
      </c>
      <c r="S796" s="2">
        <f>Table1[[#This Row],[Discount]]/100</f>
        <v>0.15</v>
      </c>
    </row>
    <row r="797" spans="1:19" x14ac:dyDescent="0.3">
      <c r="A797">
        <v>10796</v>
      </c>
      <c r="B797" s="1" t="s">
        <v>565</v>
      </c>
      <c r="C797" t="s">
        <v>255</v>
      </c>
      <c r="D797" t="s">
        <v>60</v>
      </c>
      <c r="E797" t="s">
        <v>61</v>
      </c>
      <c r="F797" t="s">
        <v>25</v>
      </c>
      <c r="G797" t="s">
        <v>95</v>
      </c>
      <c r="H797" t="s">
        <v>96</v>
      </c>
      <c r="I797">
        <v>2</v>
      </c>
      <c r="J797">
        <v>4849.2</v>
      </c>
      <c r="K797">
        <v>1310.6300000000001</v>
      </c>
      <c r="L797">
        <v>10</v>
      </c>
      <c r="M797" t="s">
        <v>49</v>
      </c>
      <c r="N797" t="str">
        <f>TEXT(Table1[[#This Row],[Order Date]],"MMMM")</f>
        <v>December</v>
      </c>
      <c r="O797">
        <f>YEAR(Table1[[#This Row],[Order Date]])</f>
        <v>2025</v>
      </c>
      <c r="P797" t="str">
        <f>"Q"&amp;ROUNDUP(MONTH(Table1[[#This Row],[Order Date]])/3,0)</f>
        <v>Q4</v>
      </c>
      <c r="Q797" s="3">
        <f>Table1[[#This Row],[Profit]]/Table1[[#This Row],[Sales]]</f>
        <v>0.27027757155819521</v>
      </c>
      <c r="R797" t="str">
        <f>IF(Table1[[#This Row],[Sales]]&lt;1000,"LOW",IF(Table1[[#This Row],[Sales]]&lt;5000,"MEDIUM","HIGH"))</f>
        <v>MEDIUM</v>
      </c>
      <c r="S797" s="2">
        <f>Table1[[#This Row],[Discount]]/100</f>
        <v>0.1</v>
      </c>
    </row>
    <row r="798" spans="1:19" x14ac:dyDescent="0.3">
      <c r="A798">
        <v>10797</v>
      </c>
      <c r="B798" s="1" t="s">
        <v>404</v>
      </c>
      <c r="C798" t="s">
        <v>469</v>
      </c>
      <c r="D798" t="s">
        <v>74</v>
      </c>
      <c r="E798" t="s">
        <v>74</v>
      </c>
      <c r="F798" t="s">
        <v>25</v>
      </c>
      <c r="G798" t="s">
        <v>26</v>
      </c>
      <c r="H798" t="s">
        <v>27</v>
      </c>
      <c r="I798">
        <v>6</v>
      </c>
      <c r="J798">
        <v>17852.400000000001</v>
      </c>
      <c r="K798">
        <v>3822.53</v>
      </c>
      <c r="L798">
        <v>5</v>
      </c>
      <c r="M798" t="s">
        <v>20</v>
      </c>
      <c r="N798" t="str">
        <f>TEXT(Table1[[#This Row],[Order Date]],"MMMM")</f>
        <v>May</v>
      </c>
      <c r="O798">
        <f>YEAR(Table1[[#This Row],[Order Date]])</f>
        <v>2025</v>
      </c>
      <c r="P798" t="str">
        <f>"Q"&amp;ROUNDUP(MONTH(Table1[[#This Row],[Order Date]])/3,0)</f>
        <v>Q2</v>
      </c>
      <c r="Q798" s="3">
        <f>Table1[[#This Row],[Profit]]/Table1[[#This Row],[Sales]]</f>
        <v>0.21411854988684995</v>
      </c>
      <c r="R798" t="str">
        <f>IF(Table1[[#This Row],[Sales]]&lt;1000,"LOW",IF(Table1[[#This Row],[Sales]]&lt;5000,"MEDIUM","HIGH"))</f>
        <v>HIGH</v>
      </c>
      <c r="S798" s="2">
        <f>Table1[[#This Row],[Discount]]/100</f>
        <v>0.05</v>
      </c>
    </row>
    <row r="799" spans="1:19" x14ac:dyDescent="0.3">
      <c r="A799">
        <v>10798</v>
      </c>
      <c r="B799" s="1" t="s">
        <v>557</v>
      </c>
      <c r="C799" t="s">
        <v>407</v>
      </c>
      <c r="D799" t="s">
        <v>36</v>
      </c>
      <c r="E799" t="s">
        <v>37</v>
      </c>
      <c r="F799" t="s">
        <v>17</v>
      </c>
      <c r="G799" t="s">
        <v>18</v>
      </c>
      <c r="H799" t="s">
        <v>19</v>
      </c>
      <c r="I799">
        <v>2</v>
      </c>
      <c r="J799">
        <v>1092</v>
      </c>
      <c r="K799">
        <v>256.49</v>
      </c>
      <c r="L799">
        <v>0</v>
      </c>
      <c r="M799" t="s">
        <v>28</v>
      </c>
      <c r="N799" t="str">
        <f>TEXT(Table1[[#This Row],[Order Date]],"MMMM")</f>
        <v>October</v>
      </c>
      <c r="O799">
        <f>YEAR(Table1[[#This Row],[Order Date]])</f>
        <v>2025</v>
      </c>
      <c r="P799" t="str">
        <f>"Q"&amp;ROUNDUP(MONTH(Table1[[#This Row],[Order Date]])/3,0)</f>
        <v>Q4</v>
      </c>
      <c r="Q799" s="3">
        <f>Table1[[#This Row],[Profit]]/Table1[[#This Row],[Sales]]</f>
        <v>0.23488095238095238</v>
      </c>
      <c r="R799" t="str">
        <f>IF(Table1[[#This Row],[Sales]]&lt;1000,"LOW",IF(Table1[[#This Row],[Sales]]&lt;5000,"MEDIUM","HIGH"))</f>
        <v>MEDIUM</v>
      </c>
      <c r="S799" s="2">
        <f>Table1[[#This Row],[Discount]]/100</f>
        <v>0</v>
      </c>
    </row>
    <row r="800" spans="1:19" x14ac:dyDescent="0.3">
      <c r="A800">
        <v>10799</v>
      </c>
      <c r="B800" s="1" t="s">
        <v>485</v>
      </c>
      <c r="C800" t="s">
        <v>59</v>
      </c>
      <c r="D800" t="s">
        <v>74</v>
      </c>
      <c r="E800" t="s">
        <v>74</v>
      </c>
      <c r="F800" t="s">
        <v>31</v>
      </c>
      <c r="G800" t="s">
        <v>89</v>
      </c>
      <c r="H800" t="s">
        <v>90</v>
      </c>
      <c r="I800">
        <v>5</v>
      </c>
      <c r="J800">
        <v>22063.75</v>
      </c>
      <c r="K800">
        <v>3868.87</v>
      </c>
      <c r="L800">
        <v>5</v>
      </c>
      <c r="M800" t="s">
        <v>45</v>
      </c>
      <c r="N800" t="str">
        <f>TEXT(Table1[[#This Row],[Order Date]],"MMMM")</f>
        <v>November</v>
      </c>
      <c r="O800">
        <f>YEAR(Table1[[#This Row],[Order Date]])</f>
        <v>2025</v>
      </c>
      <c r="P800" t="str">
        <f>"Q"&amp;ROUNDUP(MONTH(Table1[[#This Row],[Order Date]])/3,0)</f>
        <v>Q4</v>
      </c>
      <c r="Q800" s="3">
        <f>Table1[[#This Row],[Profit]]/Table1[[#This Row],[Sales]]</f>
        <v>0.17534961192000453</v>
      </c>
      <c r="R800" t="str">
        <f>IF(Table1[[#This Row],[Sales]]&lt;1000,"LOW",IF(Table1[[#This Row],[Sales]]&lt;5000,"MEDIUM","HIGH"))</f>
        <v>HIGH</v>
      </c>
      <c r="S800" s="2">
        <f>Table1[[#This Row],[Discount]]/100</f>
        <v>0.05</v>
      </c>
    </row>
    <row r="801" spans="1:19" x14ac:dyDescent="0.3">
      <c r="A801">
        <v>10800</v>
      </c>
      <c r="B801" s="1" t="s">
        <v>355</v>
      </c>
      <c r="C801" t="s">
        <v>127</v>
      </c>
      <c r="D801" t="s">
        <v>15</v>
      </c>
      <c r="E801" t="s">
        <v>16</v>
      </c>
      <c r="F801" t="s">
        <v>31</v>
      </c>
      <c r="G801" t="s">
        <v>124</v>
      </c>
      <c r="H801" t="s">
        <v>125</v>
      </c>
      <c r="I801">
        <v>3</v>
      </c>
      <c r="J801">
        <v>10421.85</v>
      </c>
      <c r="K801">
        <v>2526.58</v>
      </c>
      <c r="L801">
        <v>15</v>
      </c>
      <c r="M801" t="s">
        <v>45</v>
      </c>
      <c r="N801" t="str">
        <f>TEXT(Table1[[#This Row],[Order Date]],"MMMM")</f>
        <v>February</v>
      </c>
      <c r="O801">
        <f>YEAR(Table1[[#This Row],[Order Date]])</f>
        <v>2025</v>
      </c>
      <c r="P801" t="str">
        <f>"Q"&amp;ROUNDUP(MONTH(Table1[[#This Row],[Order Date]])/3,0)</f>
        <v>Q1</v>
      </c>
      <c r="Q801" s="3">
        <f>Table1[[#This Row],[Profit]]/Table1[[#This Row],[Sales]]</f>
        <v>0.24243104631135545</v>
      </c>
      <c r="R801" t="str">
        <f>IF(Table1[[#This Row],[Sales]]&lt;1000,"LOW",IF(Table1[[#This Row],[Sales]]&lt;5000,"MEDIUM","HIGH"))</f>
        <v>HIGH</v>
      </c>
      <c r="S801" s="2">
        <f>Table1[[#This Row],[Discount]]/100</f>
        <v>0.15</v>
      </c>
    </row>
    <row r="802" spans="1:19" x14ac:dyDescent="0.3">
      <c r="A802">
        <v>10801</v>
      </c>
      <c r="B802" s="1" t="s">
        <v>473</v>
      </c>
      <c r="C802" t="s">
        <v>349</v>
      </c>
      <c r="D802" t="s">
        <v>60</v>
      </c>
      <c r="E802" t="s">
        <v>61</v>
      </c>
      <c r="F802" t="s">
        <v>17</v>
      </c>
      <c r="G802" t="s">
        <v>75</v>
      </c>
      <c r="H802" t="s">
        <v>116</v>
      </c>
      <c r="I802">
        <v>4</v>
      </c>
      <c r="J802">
        <v>5104</v>
      </c>
      <c r="K802">
        <v>788.56</v>
      </c>
      <c r="L802">
        <v>20</v>
      </c>
      <c r="M802" t="s">
        <v>45</v>
      </c>
      <c r="N802" t="str">
        <f>TEXT(Table1[[#This Row],[Order Date]],"MMMM")</f>
        <v>December</v>
      </c>
      <c r="O802">
        <f>YEAR(Table1[[#This Row],[Order Date]])</f>
        <v>2025</v>
      </c>
      <c r="P802" t="str">
        <f>"Q"&amp;ROUNDUP(MONTH(Table1[[#This Row],[Order Date]])/3,0)</f>
        <v>Q4</v>
      </c>
      <c r="Q802" s="3">
        <f>Table1[[#This Row],[Profit]]/Table1[[#This Row],[Sales]]</f>
        <v>0.15449843260188087</v>
      </c>
      <c r="R802" t="str">
        <f>IF(Table1[[#This Row],[Sales]]&lt;1000,"LOW",IF(Table1[[#This Row],[Sales]]&lt;5000,"MEDIUM","HIGH"))</f>
        <v>HIGH</v>
      </c>
      <c r="S802" s="2">
        <f>Table1[[#This Row],[Discount]]/100</f>
        <v>0.2</v>
      </c>
    </row>
    <row r="803" spans="1:19" x14ac:dyDescent="0.3">
      <c r="A803">
        <v>10802</v>
      </c>
      <c r="B803" s="1" t="s">
        <v>395</v>
      </c>
      <c r="C803" t="s">
        <v>152</v>
      </c>
      <c r="D803" t="s">
        <v>66</v>
      </c>
      <c r="E803" t="s">
        <v>16</v>
      </c>
      <c r="F803" t="s">
        <v>25</v>
      </c>
      <c r="G803" t="s">
        <v>95</v>
      </c>
      <c r="H803" t="s">
        <v>96</v>
      </c>
      <c r="I803">
        <v>7</v>
      </c>
      <c r="J803">
        <v>24465.35</v>
      </c>
      <c r="K803">
        <v>6979.34</v>
      </c>
      <c r="L803">
        <v>5</v>
      </c>
      <c r="M803" t="s">
        <v>28</v>
      </c>
      <c r="N803" t="str">
        <f>TEXT(Table1[[#This Row],[Order Date]],"MMMM")</f>
        <v>June</v>
      </c>
      <c r="O803">
        <f>YEAR(Table1[[#This Row],[Order Date]])</f>
        <v>2025</v>
      </c>
      <c r="P803" t="str">
        <f>"Q"&amp;ROUNDUP(MONTH(Table1[[#This Row],[Order Date]])/3,0)</f>
        <v>Q2</v>
      </c>
      <c r="Q803" s="3">
        <f>Table1[[#This Row],[Profit]]/Table1[[#This Row],[Sales]]</f>
        <v>0.2852744800299199</v>
      </c>
      <c r="R803" t="str">
        <f>IF(Table1[[#This Row],[Sales]]&lt;1000,"LOW",IF(Table1[[#This Row],[Sales]]&lt;5000,"MEDIUM","HIGH"))</f>
        <v>HIGH</v>
      </c>
      <c r="S803" s="2">
        <f>Table1[[#This Row],[Discount]]/100</f>
        <v>0.05</v>
      </c>
    </row>
    <row r="804" spans="1:19" x14ac:dyDescent="0.3">
      <c r="A804">
        <v>10803</v>
      </c>
      <c r="B804" s="1" t="s">
        <v>296</v>
      </c>
      <c r="C804" t="s">
        <v>158</v>
      </c>
      <c r="D804" t="s">
        <v>36</v>
      </c>
      <c r="E804" t="s">
        <v>37</v>
      </c>
      <c r="F804" t="s">
        <v>31</v>
      </c>
      <c r="G804" t="s">
        <v>38</v>
      </c>
      <c r="H804" t="s">
        <v>39</v>
      </c>
      <c r="I804">
        <v>4</v>
      </c>
      <c r="J804">
        <v>15587.6</v>
      </c>
      <c r="K804">
        <v>3845.62</v>
      </c>
      <c r="L804">
        <v>5</v>
      </c>
      <c r="M804" t="s">
        <v>28</v>
      </c>
      <c r="N804" t="str">
        <f>TEXT(Table1[[#This Row],[Order Date]],"MMMM")</f>
        <v>February</v>
      </c>
      <c r="O804">
        <f>YEAR(Table1[[#This Row],[Order Date]])</f>
        <v>2025</v>
      </c>
      <c r="P804" t="str">
        <f>"Q"&amp;ROUNDUP(MONTH(Table1[[#This Row],[Order Date]])/3,0)</f>
        <v>Q1</v>
      </c>
      <c r="Q804" s="3">
        <f>Table1[[#This Row],[Profit]]/Table1[[#This Row],[Sales]]</f>
        <v>0.24671020554799969</v>
      </c>
      <c r="R804" t="str">
        <f>IF(Table1[[#This Row],[Sales]]&lt;1000,"LOW",IF(Table1[[#This Row],[Sales]]&lt;5000,"MEDIUM","HIGH"))</f>
        <v>HIGH</v>
      </c>
      <c r="S804" s="2">
        <f>Table1[[#This Row],[Discount]]/100</f>
        <v>0.05</v>
      </c>
    </row>
    <row r="805" spans="1:19" x14ac:dyDescent="0.3">
      <c r="A805">
        <v>10804</v>
      </c>
      <c r="B805" s="1" t="s">
        <v>541</v>
      </c>
      <c r="C805" t="s">
        <v>68</v>
      </c>
      <c r="D805" t="s">
        <v>74</v>
      </c>
      <c r="E805" t="s">
        <v>74</v>
      </c>
      <c r="F805" t="s">
        <v>31</v>
      </c>
      <c r="G805" t="s">
        <v>124</v>
      </c>
      <c r="H805" t="s">
        <v>125</v>
      </c>
      <c r="I805">
        <v>5</v>
      </c>
      <c r="J805">
        <v>11641.5</v>
      </c>
      <c r="K805">
        <v>2923.8</v>
      </c>
      <c r="L805">
        <v>10</v>
      </c>
      <c r="M805" t="s">
        <v>40</v>
      </c>
      <c r="N805" t="str">
        <f>TEXT(Table1[[#This Row],[Order Date]],"MMMM")</f>
        <v>September</v>
      </c>
      <c r="O805">
        <f>YEAR(Table1[[#This Row],[Order Date]])</f>
        <v>2025</v>
      </c>
      <c r="P805" t="str">
        <f>"Q"&amp;ROUNDUP(MONTH(Table1[[#This Row],[Order Date]])/3,0)</f>
        <v>Q3</v>
      </c>
      <c r="Q805" s="3">
        <f>Table1[[#This Row],[Profit]]/Table1[[#This Row],[Sales]]</f>
        <v>0.25115320190697077</v>
      </c>
      <c r="R805" t="str">
        <f>IF(Table1[[#This Row],[Sales]]&lt;1000,"LOW",IF(Table1[[#This Row],[Sales]]&lt;5000,"MEDIUM","HIGH"))</f>
        <v>HIGH</v>
      </c>
      <c r="S805" s="2">
        <f>Table1[[#This Row],[Discount]]/100</f>
        <v>0.1</v>
      </c>
    </row>
    <row r="806" spans="1:19" x14ac:dyDescent="0.3">
      <c r="A806">
        <v>10805</v>
      </c>
      <c r="B806" s="1" t="s">
        <v>303</v>
      </c>
      <c r="C806" t="s">
        <v>14</v>
      </c>
      <c r="D806" t="s">
        <v>56</v>
      </c>
      <c r="E806" t="s">
        <v>57</v>
      </c>
      <c r="F806" t="s">
        <v>17</v>
      </c>
      <c r="G806" t="s">
        <v>75</v>
      </c>
      <c r="H806" t="s">
        <v>76</v>
      </c>
      <c r="I806">
        <v>6</v>
      </c>
      <c r="J806">
        <v>19354.5</v>
      </c>
      <c r="K806">
        <v>4044.45</v>
      </c>
      <c r="L806">
        <v>15</v>
      </c>
      <c r="M806" t="s">
        <v>40</v>
      </c>
      <c r="N806" t="str">
        <f>TEXT(Table1[[#This Row],[Order Date]],"MMMM")</f>
        <v>January</v>
      </c>
      <c r="O806">
        <f>YEAR(Table1[[#This Row],[Order Date]])</f>
        <v>2025</v>
      </c>
      <c r="P806" t="str">
        <f>"Q"&amp;ROUNDUP(MONTH(Table1[[#This Row],[Order Date]])/3,0)</f>
        <v>Q1</v>
      </c>
      <c r="Q806" s="3">
        <f>Table1[[#This Row],[Profit]]/Table1[[#This Row],[Sales]]</f>
        <v>0.20896690692087111</v>
      </c>
      <c r="R806" t="str">
        <f>IF(Table1[[#This Row],[Sales]]&lt;1000,"LOW",IF(Table1[[#This Row],[Sales]]&lt;5000,"MEDIUM","HIGH"))</f>
        <v>HIGH</v>
      </c>
      <c r="S806" s="2">
        <f>Table1[[#This Row],[Discount]]/100</f>
        <v>0.15</v>
      </c>
    </row>
    <row r="807" spans="1:19" x14ac:dyDescent="0.3">
      <c r="A807">
        <v>10806</v>
      </c>
      <c r="B807" s="1" t="s">
        <v>389</v>
      </c>
      <c r="C807" t="s">
        <v>98</v>
      </c>
      <c r="D807" t="s">
        <v>66</v>
      </c>
      <c r="E807" t="s">
        <v>16</v>
      </c>
      <c r="F807" t="s">
        <v>31</v>
      </c>
      <c r="G807" t="s">
        <v>38</v>
      </c>
      <c r="H807" t="s">
        <v>39</v>
      </c>
      <c r="I807">
        <v>2</v>
      </c>
      <c r="J807">
        <v>7672.1</v>
      </c>
      <c r="K807">
        <v>1953.47</v>
      </c>
      <c r="L807">
        <v>15</v>
      </c>
      <c r="M807" t="s">
        <v>45</v>
      </c>
      <c r="N807" t="str">
        <f>TEXT(Table1[[#This Row],[Order Date]],"MMMM")</f>
        <v>April</v>
      </c>
      <c r="O807">
        <f>YEAR(Table1[[#This Row],[Order Date]])</f>
        <v>2025</v>
      </c>
      <c r="P807" t="str">
        <f>"Q"&amp;ROUNDUP(MONTH(Table1[[#This Row],[Order Date]])/3,0)</f>
        <v>Q2</v>
      </c>
      <c r="Q807" s="3">
        <f>Table1[[#This Row],[Profit]]/Table1[[#This Row],[Sales]]</f>
        <v>0.25461998670507424</v>
      </c>
      <c r="R807" t="str">
        <f>IF(Table1[[#This Row],[Sales]]&lt;1000,"LOW",IF(Table1[[#This Row],[Sales]]&lt;5000,"MEDIUM","HIGH"))</f>
        <v>HIGH</v>
      </c>
      <c r="S807" s="2">
        <f>Table1[[#This Row],[Discount]]/100</f>
        <v>0.15</v>
      </c>
    </row>
    <row r="808" spans="1:19" x14ac:dyDescent="0.3">
      <c r="A808">
        <v>10807</v>
      </c>
      <c r="B808" s="1" t="s">
        <v>151</v>
      </c>
      <c r="C808" t="s">
        <v>115</v>
      </c>
      <c r="D808" t="s">
        <v>36</v>
      </c>
      <c r="E808" t="s">
        <v>37</v>
      </c>
      <c r="F808" t="s">
        <v>17</v>
      </c>
      <c r="G808" t="s">
        <v>18</v>
      </c>
      <c r="H808" t="s">
        <v>19</v>
      </c>
      <c r="I808">
        <v>7</v>
      </c>
      <c r="J808">
        <v>22645</v>
      </c>
      <c r="K808">
        <v>3344.57</v>
      </c>
      <c r="L808">
        <v>0</v>
      </c>
      <c r="M808" t="s">
        <v>45</v>
      </c>
      <c r="N808" t="str">
        <f>TEXT(Table1[[#This Row],[Order Date]],"MMMM")</f>
        <v>August</v>
      </c>
      <c r="O808">
        <f>YEAR(Table1[[#This Row],[Order Date]])</f>
        <v>2025</v>
      </c>
      <c r="P808" t="str">
        <f>"Q"&amp;ROUNDUP(MONTH(Table1[[#This Row],[Order Date]])/3,0)</f>
        <v>Q3</v>
      </c>
      <c r="Q808" s="3">
        <f>Table1[[#This Row],[Profit]]/Table1[[#This Row],[Sales]]</f>
        <v>0.14769573857363658</v>
      </c>
      <c r="R808" t="str">
        <f>IF(Table1[[#This Row],[Sales]]&lt;1000,"LOW",IF(Table1[[#This Row],[Sales]]&lt;5000,"MEDIUM","HIGH"))</f>
        <v>HIGH</v>
      </c>
      <c r="S808" s="2">
        <f>Table1[[#This Row],[Discount]]/100</f>
        <v>0</v>
      </c>
    </row>
    <row r="809" spans="1:19" x14ac:dyDescent="0.3">
      <c r="A809">
        <v>10808</v>
      </c>
      <c r="B809" s="1" t="s">
        <v>230</v>
      </c>
      <c r="C809" t="s">
        <v>82</v>
      </c>
      <c r="D809" t="s">
        <v>74</v>
      </c>
      <c r="E809" t="s">
        <v>74</v>
      </c>
      <c r="F809" t="s">
        <v>25</v>
      </c>
      <c r="G809" t="s">
        <v>26</v>
      </c>
      <c r="H809" t="s">
        <v>71</v>
      </c>
      <c r="I809">
        <v>3</v>
      </c>
      <c r="J809">
        <v>5908.05</v>
      </c>
      <c r="K809">
        <v>531.28</v>
      </c>
      <c r="L809">
        <v>5</v>
      </c>
      <c r="M809" t="s">
        <v>45</v>
      </c>
      <c r="N809" t="str">
        <f>TEXT(Table1[[#This Row],[Order Date]],"MMMM")</f>
        <v>February</v>
      </c>
      <c r="O809">
        <f>YEAR(Table1[[#This Row],[Order Date]])</f>
        <v>2025</v>
      </c>
      <c r="P809" t="str">
        <f>"Q"&amp;ROUNDUP(MONTH(Table1[[#This Row],[Order Date]])/3,0)</f>
        <v>Q1</v>
      </c>
      <c r="Q809" s="3">
        <f>Table1[[#This Row],[Profit]]/Table1[[#This Row],[Sales]]</f>
        <v>8.9924763669907995E-2</v>
      </c>
      <c r="R809" t="str">
        <f>IF(Table1[[#This Row],[Sales]]&lt;1000,"LOW",IF(Table1[[#This Row],[Sales]]&lt;5000,"MEDIUM","HIGH"))</f>
        <v>HIGH</v>
      </c>
      <c r="S809" s="2">
        <f>Table1[[#This Row],[Discount]]/100</f>
        <v>0.05</v>
      </c>
    </row>
    <row r="810" spans="1:19" x14ac:dyDescent="0.3">
      <c r="A810">
        <v>10809</v>
      </c>
      <c r="B810" s="1" t="s">
        <v>198</v>
      </c>
      <c r="C810" t="s">
        <v>214</v>
      </c>
      <c r="D810" t="s">
        <v>36</v>
      </c>
      <c r="E810" t="s">
        <v>37</v>
      </c>
      <c r="F810" t="s">
        <v>31</v>
      </c>
      <c r="G810" t="s">
        <v>38</v>
      </c>
      <c r="H810" t="s">
        <v>39</v>
      </c>
      <c r="I810">
        <v>1</v>
      </c>
      <c r="J810">
        <v>1175.4000000000001</v>
      </c>
      <c r="K810">
        <v>299.68</v>
      </c>
      <c r="L810">
        <v>10</v>
      </c>
      <c r="M810" t="s">
        <v>49</v>
      </c>
      <c r="N810" t="str">
        <f>TEXT(Table1[[#This Row],[Order Date]],"MMMM")</f>
        <v>May</v>
      </c>
      <c r="O810">
        <f>YEAR(Table1[[#This Row],[Order Date]])</f>
        <v>2025</v>
      </c>
      <c r="P810" t="str">
        <f>"Q"&amp;ROUNDUP(MONTH(Table1[[#This Row],[Order Date]])/3,0)</f>
        <v>Q2</v>
      </c>
      <c r="Q810" s="3">
        <f>Table1[[#This Row],[Profit]]/Table1[[#This Row],[Sales]]</f>
        <v>0.25496001361238724</v>
      </c>
      <c r="R810" t="str">
        <f>IF(Table1[[#This Row],[Sales]]&lt;1000,"LOW",IF(Table1[[#This Row],[Sales]]&lt;5000,"MEDIUM","HIGH"))</f>
        <v>MEDIUM</v>
      </c>
      <c r="S810" s="2">
        <f>Table1[[#This Row],[Discount]]/100</f>
        <v>0.1</v>
      </c>
    </row>
    <row r="811" spans="1:19" x14ac:dyDescent="0.3">
      <c r="A811">
        <v>10810</v>
      </c>
      <c r="B811" s="1" t="s">
        <v>543</v>
      </c>
      <c r="C811" t="s">
        <v>292</v>
      </c>
      <c r="D811" t="s">
        <v>74</v>
      </c>
      <c r="E811" t="s">
        <v>74</v>
      </c>
      <c r="F811" t="s">
        <v>17</v>
      </c>
      <c r="G811" t="s">
        <v>43</v>
      </c>
      <c r="H811" t="s">
        <v>44</v>
      </c>
      <c r="I811">
        <v>1</v>
      </c>
      <c r="J811">
        <v>4694.8999999999996</v>
      </c>
      <c r="K811">
        <v>1274.81</v>
      </c>
      <c r="L811">
        <v>5</v>
      </c>
      <c r="M811" t="s">
        <v>45</v>
      </c>
      <c r="N811" t="str">
        <f>TEXT(Table1[[#This Row],[Order Date]],"MMMM")</f>
        <v>July</v>
      </c>
      <c r="O811">
        <f>YEAR(Table1[[#This Row],[Order Date]])</f>
        <v>2025</v>
      </c>
      <c r="P811" t="str">
        <f>"Q"&amp;ROUNDUP(MONTH(Table1[[#This Row],[Order Date]])/3,0)</f>
        <v>Q3</v>
      </c>
      <c r="Q811" s="3">
        <f>Table1[[#This Row],[Profit]]/Table1[[#This Row],[Sales]]</f>
        <v>0.27153081002790264</v>
      </c>
      <c r="R811" t="str">
        <f>IF(Table1[[#This Row],[Sales]]&lt;1000,"LOW",IF(Table1[[#This Row],[Sales]]&lt;5000,"MEDIUM","HIGH"))</f>
        <v>MEDIUM</v>
      </c>
      <c r="S811" s="2">
        <f>Table1[[#This Row],[Discount]]/100</f>
        <v>0.05</v>
      </c>
    </row>
    <row r="812" spans="1:19" x14ac:dyDescent="0.3">
      <c r="A812">
        <v>10811</v>
      </c>
      <c r="B812" s="1" t="s">
        <v>72</v>
      </c>
      <c r="C812" t="s">
        <v>166</v>
      </c>
      <c r="D812" t="s">
        <v>15</v>
      </c>
      <c r="E812" t="s">
        <v>16</v>
      </c>
      <c r="F812" t="s">
        <v>25</v>
      </c>
      <c r="G812" t="s">
        <v>95</v>
      </c>
      <c r="H812" t="s">
        <v>96</v>
      </c>
      <c r="I812">
        <v>6</v>
      </c>
      <c r="J812">
        <v>17625.599999999999</v>
      </c>
      <c r="K812">
        <v>4707.33</v>
      </c>
      <c r="L812">
        <v>15</v>
      </c>
      <c r="M812" t="s">
        <v>45</v>
      </c>
      <c r="N812" t="str">
        <f>TEXT(Table1[[#This Row],[Order Date]],"MMMM")</f>
        <v>March</v>
      </c>
      <c r="O812">
        <f>YEAR(Table1[[#This Row],[Order Date]])</f>
        <v>2025</v>
      </c>
      <c r="P812" t="str">
        <f>"Q"&amp;ROUNDUP(MONTH(Table1[[#This Row],[Order Date]])/3,0)</f>
        <v>Q1</v>
      </c>
      <c r="Q812" s="3">
        <f>Table1[[#This Row],[Profit]]/Table1[[#This Row],[Sales]]</f>
        <v>0.26707346132897603</v>
      </c>
      <c r="R812" t="str">
        <f>IF(Table1[[#This Row],[Sales]]&lt;1000,"LOW",IF(Table1[[#This Row],[Sales]]&lt;5000,"MEDIUM","HIGH"))</f>
        <v>HIGH</v>
      </c>
      <c r="S812" s="2">
        <f>Table1[[#This Row],[Discount]]/100</f>
        <v>0.15</v>
      </c>
    </row>
    <row r="813" spans="1:19" x14ac:dyDescent="0.3">
      <c r="A813">
        <v>10812</v>
      </c>
      <c r="B813" s="1" t="s">
        <v>211</v>
      </c>
      <c r="C813" t="s">
        <v>343</v>
      </c>
      <c r="D813" t="s">
        <v>23</v>
      </c>
      <c r="E813" t="s">
        <v>24</v>
      </c>
      <c r="F813" t="s">
        <v>17</v>
      </c>
      <c r="G813" t="s">
        <v>75</v>
      </c>
      <c r="H813" t="s">
        <v>76</v>
      </c>
      <c r="I813">
        <v>8</v>
      </c>
      <c r="J813">
        <v>2118.4</v>
      </c>
      <c r="K813">
        <v>598.64</v>
      </c>
      <c r="L813">
        <v>20</v>
      </c>
      <c r="M813" t="s">
        <v>49</v>
      </c>
      <c r="N813" t="str">
        <f>TEXT(Table1[[#This Row],[Order Date]],"MMMM")</f>
        <v>March</v>
      </c>
      <c r="O813">
        <f>YEAR(Table1[[#This Row],[Order Date]])</f>
        <v>2025</v>
      </c>
      <c r="P813" t="str">
        <f>"Q"&amp;ROUNDUP(MONTH(Table1[[#This Row],[Order Date]])/3,0)</f>
        <v>Q1</v>
      </c>
      <c r="Q813" s="3">
        <f>Table1[[#This Row],[Profit]]/Table1[[#This Row],[Sales]]</f>
        <v>0.28259063444108762</v>
      </c>
      <c r="R813" t="str">
        <f>IF(Table1[[#This Row],[Sales]]&lt;1000,"LOW",IF(Table1[[#This Row],[Sales]]&lt;5000,"MEDIUM","HIGH"))</f>
        <v>MEDIUM</v>
      </c>
      <c r="S813" s="2">
        <f>Table1[[#This Row],[Discount]]/100</f>
        <v>0.2</v>
      </c>
    </row>
    <row r="814" spans="1:19" x14ac:dyDescent="0.3">
      <c r="A814">
        <v>10813</v>
      </c>
      <c r="B814" s="1" t="s">
        <v>562</v>
      </c>
      <c r="C814" t="s">
        <v>301</v>
      </c>
      <c r="D814" t="s">
        <v>52</v>
      </c>
      <c r="E814" t="s">
        <v>53</v>
      </c>
      <c r="F814" t="s">
        <v>31</v>
      </c>
      <c r="G814" t="s">
        <v>89</v>
      </c>
      <c r="H814" t="s">
        <v>90</v>
      </c>
      <c r="I814">
        <v>5</v>
      </c>
      <c r="J814">
        <v>15424</v>
      </c>
      <c r="K814">
        <v>3192.75</v>
      </c>
      <c r="L814">
        <v>20</v>
      </c>
      <c r="M814" t="s">
        <v>20</v>
      </c>
      <c r="N814" t="str">
        <f>TEXT(Table1[[#This Row],[Order Date]],"MMMM")</f>
        <v>November</v>
      </c>
      <c r="O814">
        <f>YEAR(Table1[[#This Row],[Order Date]])</f>
        <v>2025</v>
      </c>
      <c r="P814" t="str">
        <f>"Q"&amp;ROUNDUP(MONTH(Table1[[#This Row],[Order Date]])/3,0)</f>
        <v>Q4</v>
      </c>
      <c r="Q814" s="3">
        <f>Table1[[#This Row],[Profit]]/Table1[[#This Row],[Sales]]</f>
        <v>0.20699883298755187</v>
      </c>
      <c r="R814" t="str">
        <f>IF(Table1[[#This Row],[Sales]]&lt;1000,"LOW",IF(Table1[[#This Row],[Sales]]&lt;5000,"MEDIUM","HIGH"))</f>
        <v>HIGH</v>
      </c>
      <c r="S814" s="2">
        <f>Table1[[#This Row],[Discount]]/100</f>
        <v>0.2</v>
      </c>
    </row>
    <row r="815" spans="1:19" x14ac:dyDescent="0.3">
      <c r="A815">
        <v>10814</v>
      </c>
      <c r="B815" s="1" t="s">
        <v>384</v>
      </c>
      <c r="C815" t="s">
        <v>366</v>
      </c>
      <c r="D815" t="s">
        <v>66</v>
      </c>
      <c r="E815" t="s">
        <v>16</v>
      </c>
      <c r="F815" t="s">
        <v>25</v>
      </c>
      <c r="G815" t="s">
        <v>26</v>
      </c>
      <c r="H815" t="s">
        <v>48</v>
      </c>
      <c r="I815">
        <v>2</v>
      </c>
      <c r="J815">
        <v>4369</v>
      </c>
      <c r="K815">
        <v>753.24</v>
      </c>
      <c r="L815">
        <v>15</v>
      </c>
      <c r="M815" t="s">
        <v>45</v>
      </c>
      <c r="N815" t="str">
        <f>TEXT(Table1[[#This Row],[Order Date]],"MMMM")</f>
        <v>November</v>
      </c>
      <c r="O815">
        <f>YEAR(Table1[[#This Row],[Order Date]])</f>
        <v>2025</v>
      </c>
      <c r="P815" t="str">
        <f>"Q"&amp;ROUNDUP(MONTH(Table1[[#This Row],[Order Date]])/3,0)</f>
        <v>Q4</v>
      </c>
      <c r="Q815" s="3">
        <f>Table1[[#This Row],[Profit]]/Table1[[#This Row],[Sales]]</f>
        <v>0.17240558480201421</v>
      </c>
      <c r="R815" t="str">
        <f>IF(Table1[[#This Row],[Sales]]&lt;1000,"LOW",IF(Table1[[#This Row],[Sales]]&lt;5000,"MEDIUM","HIGH"))</f>
        <v>MEDIUM</v>
      </c>
      <c r="S815" s="2">
        <f>Table1[[#This Row],[Discount]]/100</f>
        <v>0.15</v>
      </c>
    </row>
    <row r="816" spans="1:19" x14ac:dyDescent="0.3">
      <c r="A816">
        <v>10815</v>
      </c>
      <c r="B816" s="1" t="s">
        <v>566</v>
      </c>
      <c r="C816" t="s">
        <v>139</v>
      </c>
      <c r="D816" t="s">
        <v>60</v>
      </c>
      <c r="E816" t="s">
        <v>61</v>
      </c>
      <c r="F816" t="s">
        <v>17</v>
      </c>
      <c r="G816" t="s">
        <v>43</v>
      </c>
      <c r="H816" t="s">
        <v>44</v>
      </c>
      <c r="I816">
        <v>6</v>
      </c>
      <c r="J816">
        <v>6640.2</v>
      </c>
      <c r="K816">
        <v>760.76</v>
      </c>
      <c r="L816">
        <v>15</v>
      </c>
      <c r="M816" t="s">
        <v>20</v>
      </c>
      <c r="N816" t="str">
        <f>TEXT(Table1[[#This Row],[Order Date]],"MMMM")</f>
        <v>August</v>
      </c>
      <c r="O816">
        <f>YEAR(Table1[[#This Row],[Order Date]])</f>
        <v>2025</v>
      </c>
      <c r="P816" t="str">
        <f>"Q"&amp;ROUNDUP(MONTH(Table1[[#This Row],[Order Date]])/3,0)</f>
        <v>Q3</v>
      </c>
      <c r="Q816" s="3">
        <f>Table1[[#This Row],[Profit]]/Table1[[#This Row],[Sales]]</f>
        <v>0.11456883828800338</v>
      </c>
      <c r="R816" t="str">
        <f>IF(Table1[[#This Row],[Sales]]&lt;1000,"LOW",IF(Table1[[#This Row],[Sales]]&lt;5000,"MEDIUM","HIGH"))</f>
        <v>HIGH</v>
      </c>
      <c r="S816" s="2">
        <f>Table1[[#This Row],[Discount]]/100</f>
        <v>0.15</v>
      </c>
    </row>
    <row r="817" spans="1:19" x14ac:dyDescent="0.3">
      <c r="A817">
        <v>10816</v>
      </c>
      <c r="B817" s="1" t="s">
        <v>438</v>
      </c>
      <c r="C817" t="s">
        <v>297</v>
      </c>
      <c r="D817" t="s">
        <v>56</v>
      </c>
      <c r="E817" t="s">
        <v>57</v>
      </c>
      <c r="F817" t="s">
        <v>31</v>
      </c>
      <c r="G817" t="s">
        <v>124</v>
      </c>
      <c r="H817" t="s">
        <v>125</v>
      </c>
      <c r="I817">
        <v>6</v>
      </c>
      <c r="J817">
        <v>21147</v>
      </c>
      <c r="K817">
        <v>3792.29</v>
      </c>
      <c r="L817">
        <v>5</v>
      </c>
      <c r="M817" t="s">
        <v>28</v>
      </c>
      <c r="N817" t="str">
        <f>TEXT(Table1[[#This Row],[Order Date]],"MMMM")</f>
        <v>September</v>
      </c>
      <c r="O817">
        <f>YEAR(Table1[[#This Row],[Order Date]])</f>
        <v>2025</v>
      </c>
      <c r="P817" t="str">
        <f>"Q"&amp;ROUNDUP(MONTH(Table1[[#This Row],[Order Date]])/3,0)</f>
        <v>Q3</v>
      </c>
      <c r="Q817" s="3">
        <f>Table1[[#This Row],[Profit]]/Table1[[#This Row],[Sales]]</f>
        <v>0.17932992859507257</v>
      </c>
      <c r="R817" t="str">
        <f>IF(Table1[[#This Row],[Sales]]&lt;1000,"LOW",IF(Table1[[#This Row],[Sales]]&lt;5000,"MEDIUM","HIGH"))</f>
        <v>HIGH</v>
      </c>
      <c r="S817" s="2">
        <f>Table1[[#This Row],[Discount]]/100</f>
        <v>0.05</v>
      </c>
    </row>
    <row r="818" spans="1:19" x14ac:dyDescent="0.3">
      <c r="A818">
        <v>10817</v>
      </c>
      <c r="B818" s="1" t="s">
        <v>267</v>
      </c>
      <c r="C818" t="s">
        <v>250</v>
      </c>
      <c r="D818" t="s">
        <v>52</v>
      </c>
      <c r="E818" t="s">
        <v>53</v>
      </c>
      <c r="F818" t="s">
        <v>31</v>
      </c>
      <c r="G818" t="s">
        <v>32</v>
      </c>
      <c r="H818" t="s">
        <v>33</v>
      </c>
      <c r="I818">
        <v>5</v>
      </c>
      <c r="J818">
        <v>15601.5</v>
      </c>
      <c r="K818">
        <v>4131.0200000000004</v>
      </c>
      <c r="L818">
        <v>10</v>
      </c>
      <c r="M818" t="s">
        <v>40</v>
      </c>
      <c r="N818" t="str">
        <f>TEXT(Table1[[#This Row],[Order Date]],"MMMM")</f>
        <v>December</v>
      </c>
      <c r="O818">
        <f>YEAR(Table1[[#This Row],[Order Date]])</f>
        <v>2025</v>
      </c>
      <c r="P818" t="str">
        <f>"Q"&amp;ROUNDUP(MONTH(Table1[[#This Row],[Order Date]])/3,0)</f>
        <v>Q4</v>
      </c>
      <c r="Q818" s="3">
        <f>Table1[[#This Row],[Profit]]/Table1[[#This Row],[Sales]]</f>
        <v>0.26478351440566616</v>
      </c>
      <c r="R818" t="str">
        <f>IF(Table1[[#This Row],[Sales]]&lt;1000,"LOW",IF(Table1[[#This Row],[Sales]]&lt;5000,"MEDIUM","HIGH"))</f>
        <v>HIGH</v>
      </c>
      <c r="S818" s="2">
        <f>Table1[[#This Row],[Discount]]/100</f>
        <v>0.1</v>
      </c>
    </row>
    <row r="819" spans="1:19" x14ac:dyDescent="0.3">
      <c r="A819">
        <v>10818</v>
      </c>
      <c r="B819" s="1" t="s">
        <v>567</v>
      </c>
      <c r="C819" t="s">
        <v>272</v>
      </c>
      <c r="D819" t="s">
        <v>52</v>
      </c>
      <c r="E819" t="s">
        <v>53</v>
      </c>
      <c r="F819" t="s">
        <v>25</v>
      </c>
      <c r="G819" t="s">
        <v>26</v>
      </c>
      <c r="H819" t="s">
        <v>71</v>
      </c>
      <c r="I819">
        <v>3</v>
      </c>
      <c r="J819">
        <v>11154.9</v>
      </c>
      <c r="K819">
        <v>1345.49</v>
      </c>
      <c r="L819">
        <v>5</v>
      </c>
      <c r="M819" t="s">
        <v>20</v>
      </c>
      <c r="N819" t="str">
        <f>TEXT(Table1[[#This Row],[Order Date]],"MMMM")</f>
        <v>January</v>
      </c>
      <c r="O819">
        <f>YEAR(Table1[[#This Row],[Order Date]])</f>
        <v>2025</v>
      </c>
      <c r="P819" t="str">
        <f>"Q"&amp;ROUNDUP(MONTH(Table1[[#This Row],[Order Date]])/3,0)</f>
        <v>Q1</v>
      </c>
      <c r="Q819" s="3">
        <f>Table1[[#This Row],[Profit]]/Table1[[#This Row],[Sales]]</f>
        <v>0.12061874153959247</v>
      </c>
      <c r="R819" t="str">
        <f>IF(Table1[[#This Row],[Sales]]&lt;1000,"LOW",IF(Table1[[#This Row],[Sales]]&lt;5000,"MEDIUM","HIGH"))</f>
        <v>HIGH</v>
      </c>
      <c r="S819" s="2">
        <f>Table1[[#This Row],[Discount]]/100</f>
        <v>0.05</v>
      </c>
    </row>
    <row r="820" spans="1:19" x14ac:dyDescent="0.3">
      <c r="A820">
        <v>10819</v>
      </c>
      <c r="B820" s="1" t="s">
        <v>112</v>
      </c>
      <c r="C820" t="s">
        <v>337</v>
      </c>
      <c r="D820" t="s">
        <v>60</v>
      </c>
      <c r="E820" t="s">
        <v>61</v>
      </c>
      <c r="F820" t="s">
        <v>31</v>
      </c>
      <c r="G820" t="s">
        <v>38</v>
      </c>
      <c r="H820" t="s">
        <v>39</v>
      </c>
      <c r="I820">
        <v>5</v>
      </c>
      <c r="J820">
        <v>14070</v>
      </c>
      <c r="K820">
        <v>2957.49</v>
      </c>
      <c r="L820">
        <v>0</v>
      </c>
      <c r="M820" t="s">
        <v>49</v>
      </c>
      <c r="N820" t="str">
        <f>TEXT(Table1[[#This Row],[Order Date]],"MMMM")</f>
        <v>May</v>
      </c>
      <c r="O820">
        <f>YEAR(Table1[[#This Row],[Order Date]])</f>
        <v>2025</v>
      </c>
      <c r="P820" t="str">
        <f>"Q"&amp;ROUNDUP(MONTH(Table1[[#This Row],[Order Date]])/3,0)</f>
        <v>Q2</v>
      </c>
      <c r="Q820" s="3">
        <f>Table1[[#This Row],[Profit]]/Table1[[#This Row],[Sales]]</f>
        <v>0.21019829424307035</v>
      </c>
      <c r="R820" t="str">
        <f>IF(Table1[[#This Row],[Sales]]&lt;1000,"LOW",IF(Table1[[#This Row],[Sales]]&lt;5000,"MEDIUM","HIGH"))</f>
        <v>HIGH</v>
      </c>
      <c r="S820" s="2">
        <f>Table1[[#This Row],[Discount]]/100</f>
        <v>0</v>
      </c>
    </row>
    <row r="821" spans="1:19" x14ac:dyDescent="0.3">
      <c r="A821">
        <v>10820</v>
      </c>
      <c r="B821" s="1" t="s">
        <v>149</v>
      </c>
      <c r="C821" t="s">
        <v>78</v>
      </c>
      <c r="D821" t="s">
        <v>66</v>
      </c>
      <c r="E821" t="s">
        <v>16</v>
      </c>
      <c r="F821" t="s">
        <v>17</v>
      </c>
      <c r="G821" t="s">
        <v>43</v>
      </c>
      <c r="H821" t="s">
        <v>44</v>
      </c>
      <c r="I821">
        <v>6</v>
      </c>
      <c r="J821">
        <v>18820.8</v>
      </c>
      <c r="K821">
        <v>5093.6899999999996</v>
      </c>
      <c r="L821">
        <v>20</v>
      </c>
      <c r="M821" t="s">
        <v>40</v>
      </c>
      <c r="N821" t="str">
        <f>TEXT(Table1[[#This Row],[Order Date]],"MMMM")</f>
        <v>March</v>
      </c>
      <c r="O821">
        <f>YEAR(Table1[[#This Row],[Order Date]])</f>
        <v>2025</v>
      </c>
      <c r="P821" t="str">
        <f>"Q"&amp;ROUNDUP(MONTH(Table1[[#This Row],[Order Date]])/3,0)</f>
        <v>Q1</v>
      </c>
      <c r="Q821" s="3">
        <f>Table1[[#This Row],[Profit]]/Table1[[#This Row],[Sales]]</f>
        <v>0.27064152427101928</v>
      </c>
      <c r="R821" t="str">
        <f>IF(Table1[[#This Row],[Sales]]&lt;1000,"LOW",IF(Table1[[#This Row],[Sales]]&lt;5000,"MEDIUM","HIGH"))</f>
        <v>HIGH</v>
      </c>
      <c r="S821" s="2">
        <f>Table1[[#This Row],[Discount]]/100</f>
        <v>0.2</v>
      </c>
    </row>
    <row r="822" spans="1:19" x14ac:dyDescent="0.3">
      <c r="A822">
        <v>10821</v>
      </c>
      <c r="B822" s="1" t="s">
        <v>209</v>
      </c>
      <c r="C822" t="s">
        <v>343</v>
      </c>
      <c r="D822" t="s">
        <v>15</v>
      </c>
      <c r="E822" t="s">
        <v>16</v>
      </c>
      <c r="F822" t="s">
        <v>25</v>
      </c>
      <c r="G822" t="s">
        <v>26</v>
      </c>
      <c r="H822" t="s">
        <v>71</v>
      </c>
      <c r="I822">
        <v>3</v>
      </c>
      <c r="J822">
        <v>8676</v>
      </c>
      <c r="K822">
        <v>1767.35</v>
      </c>
      <c r="L822">
        <v>20</v>
      </c>
      <c r="M822" t="s">
        <v>28</v>
      </c>
      <c r="N822" t="str">
        <f>TEXT(Table1[[#This Row],[Order Date]],"MMMM")</f>
        <v>March</v>
      </c>
      <c r="O822">
        <f>YEAR(Table1[[#This Row],[Order Date]])</f>
        <v>2025</v>
      </c>
      <c r="P822" t="str">
        <f>"Q"&amp;ROUNDUP(MONTH(Table1[[#This Row],[Order Date]])/3,0)</f>
        <v>Q1</v>
      </c>
      <c r="Q822" s="3">
        <f>Table1[[#This Row],[Profit]]/Table1[[#This Row],[Sales]]</f>
        <v>0.20370562471184878</v>
      </c>
      <c r="R822" t="str">
        <f>IF(Table1[[#This Row],[Sales]]&lt;1000,"LOW",IF(Table1[[#This Row],[Sales]]&lt;5000,"MEDIUM","HIGH"))</f>
        <v>HIGH</v>
      </c>
      <c r="S822" s="2">
        <f>Table1[[#This Row],[Discount]]/100</f>
        <v>0.2</v>
      </c>
    </row>
    <row r="823" spans="1:19" x14ac:dyDescent="0.3">
      <c r="A823">
        <v>10822</v>
      </c>
      <c r="B823" s="1" t="s">
        <v>524</v>
      </c>
      <c r="C823" t="s">
        <v>500</v>
      </c>
      <c r="D823" t="s">
        <v>52</v>
      </c>
      <c r="E823" t="s">
        <v>53</v>
      </c>
      <c r="F823" t="s">
        <v>25</v>
      </c>
      <c r="G823" t="s">
        <v>95</v>
      </c>
      <c r="H823" t="s">
        <v>96</v>
      </c>
      <c r="I823">
        <v>5</v>
      </c>
      <c r="J823">
        <v>1938</v>
      </c>
      <c r="K823">
        <v>330.41</v>
      </c>
      <c r="L823">
        <v>5</v>
      </c>
      <c r="M823" t="s">
        <v>28</v>
      </c>
      <c r="N823" t="str">
        <f>TEXT(Table1[[#This Row],[Order Date]],"MMMM")</f>
        <v>March</v>
      </c>
      <c r="O823">
        <f>YEAR(Table1[[#This Row],[Order Date]])</f>
        <v>2025</v>
      </c>
      <c r="P823" t="str">
        <f>"Q"&amp;ROUNDUP(MONTH(Table1[[#This Row],[Order Date]])/3,0)</f>
        <v>Q1</v>
      </c>
      <c r="Q823" s="3">
        <f>Table1[[#This Row],[Profit]]/Table1[[#This Row],[Sales]]</f>
        <v>0.17049019607843138</v>
      </c>
      <c r="R823" t="str">
        <f>IF(Table1[[#This Row],[Sales]]&lt;1000,"LOW",IF(Table1[[#This Row],[Sales]]&lt;5000,"MEDIUM","HIGH"))</f>
        <v>MEDIUM</v>
      </c>
      <c r="S823" s="2">
        <f>Table1[[#This Row],[Discount]]/100</f>
        <v>0.05</v>
      </c>
    </row>
    <row r="824" spans="1:19" x14ac:dyDescent="0.3">
      <c r="A824">
        <v>10823</v>
      </c>
      <c r="B824" s="1" t="s">
        <v>204</v>
      </c>
      <c r="C824" t="s">
        <v>168</v>
      </c>
      <c r="D824" t="s">
        <v>74</v>
      </c>
      <c r="E824" t="s">
        <v>74</v>
      </c>
      <c r="F824" t="s">
        <v>31</v>
      </c>
      <c r="G824" t="s">
        <v>124</v>
      </c>
      <c r="H824" t="s">
        <v>125</v>
      </c>
      <c r="I824">
        <v>1</v>
      </c>
      <c r="J824">
        <v>1322.4</v>
      </c>
      <c r="K824">
        <v>368.75</v>
      </c>
      <c r="L824">
        <v>5</v>
      </c>
      <c r="M824" t="s">
        <v>28</v>
      </c>
      <c r="N824" t="str">
        <f>TEXT(Table1[[#This Row],[Order Date]],"MMMM")</f>
        <v>December</v>
      </c>
      <c r="O824">
        <f>YEAR(Table1[[#This Row],[Order Date]])</f>
        <v>2025</v>
      </c>
      <c r="P824" t="str">
        <f>"Q"&amp;ROUNDUP(MONTH(Table1[[#This Row],[Order Date]])/3,0)</f>
        <v>Q4</v>
      </c>
      <c r="Q824" s="3">
        <f>Table1[[#This Row],[Profit]]/Table1[[#This Row],[Sales]]</f>
        <v>0.27884906231094975</v>
      </c>
      <c r="R824" t="str">
        <f>IF(Table1[[#This Row],[Sales]]&lt;1000,"LOW",IF(Table1[[#This Row],[Sales]]&lt;5000,"MEDIUM","HIGH"))</f>
        <v>MEDIUM</v>
      </c>
      <c r="S824" s="2">
        <f>Table1[[#This Row],[Discount]]/100</f>
        <v>0.05</v>
      </c>
    </row>
    <row r="825" spans="1:19" x14ac:dyDescent="0.3">
      <c r="A825">
        <v>10824</v>
      </c>
      <c r="B825" s="1" t="s">
        <v>285</v>
      </c>
      <c r="C825" t="s">
        <v>103</v>
      </c>
      <c r="D825" t="s">
        <v>36</v>
      </c>
      <c r="E825" t="s">
        <v>37</v>
      </c>
      <c r="F825" t="s">
        <v>31</v>
      </c>
      <c r="G825" t="s">
        <v>89</v>
      </c>
      <c r="H825" t="s">
        <v>90</v>
      </c>
      <c r="I825">
        <v>1</v>
      </c>
      <c r="J825">
        <v>2053</v>
      </c>
      <c r="K825">
        <v>570.13</v>
      </c>
      <c r="L825">
        <v>0</v>
      </c>
      <c r="M825" t="s">
        <v>49</v>
      </c>
      <c r="N825" t="str">
        <f>TEXT(Table1[[#This Row],[Order Date]],"MMMM")</f>
        <v>March</v>
      </c>
      <c r="O825">
        <f>YEAR(Table1[[#This Row],[Order Date]])</f>
        <v>2025</v>
      </c>
      <c r="P825" t="str">
        <f>"Q"&amp;ROUNDUP(MONTH(Table1[[#This Row],[Order Date]])/3,0)</f>
        <v>Q1</v>
      </c>
      <c r="Q825" s="3">
        <f>Table1[[#This Row],[Profit]]/Table1[[#This Row],[Sales]]</f>
        <v>0.27770579639551873</v>
      </c>
      <c r="R825" t="str">
        <f>IF(Table1[[#This Row],[Sales]]&lt;1000,"LOW",IF(Table1[[#This Row],[Sales]]&lt;5000,"MEDIUM","HIGH"))</f>
        <v>MEDIUM</v>
      </c>
      <c r="S825" s="2">
        <f>Table1[[#This Row],[Discount]]/100</f>
        <v>0</v>
      </c>
    </row>
    <row r="826" spans="1:19" x14ac:dyDescent="0.3">
      <c r="A826">
        <v>10825</v>
      </c>
      <c r="B826" s="1" t="s">
        <v>266</v>
      </c>
      <c r="C826" t="s">
        <v>182</v>
      </c>
      <c r="D826" t="s">
        <v>23</v>
      </c>
      <c r="E826" t="s">
        <v>24</v>
      </c>
      <c r="F826" t="s">
        <v>25</v>
      </c>
      <c r="G826" t="s">
        <v>95</v>
      </c>
      <c r="H826" t="s">
        <v>96</v>
      </c>
      <c r="I826">
        <v>7</v>
      </c>
      <c r="J826">
        <v>15963.85</v>
      </c>
      <c r="K826">
        <v>3203.28</v>
      </c>
      <c r="L826">
        <v>15</v>
      </c>
      <c r="M826" t="s">
        <v>20</v>
      </c>
      <c r="N826" t="str">
        <f>TEXT(Table1[[#This Row],[Order Date]],"MMMM")</f>
        <v>July</v>
      </c>
      <c r="O826">
        <f>YEAR(Table1[[#This Row],[Order Date]])</f>
        <v>2025</v>
      </c>
      <c r="P826" t="str">
        <f>"Q"&amp;ROUNDUP(MONTH(Table1[[#This Row],[Order Date]])/3,0)</f>
        <v>Q3</v>
      </c>
      <c r="Q826" s="3">
        <f>Table1[[#This Row],[Profit]]/Table1[[#This Row],[Sales]]</f>
        <v>0.20065836248774577</v>
      </c>
      <c r="R826" t="str">
        <f>IF(Table1[[#This Row],[Sales]]&lt;1000,"LOW",IF(Table1[[#This Row],[Sales]]&lt;5000,"MEDIUM","HIGH"))</f>
        <v>HIGH</v>
      </c>
      <c r="S826" s="2">
        <f>Table1[[#This Row],[Discount]]/100</f>
        <v>0.15</v>
      </c>
    </row>
    <row r="827" spans="1:19" x14ac:dyDescent="0.3">
      <c r="A827">
        <v>10826</v>
      </c>
      <c r="B827" s="1" t="s">
        <v>486</v>
      </c>
      <c r="C827" t="s">
        <v>385</v>
      </c>
      <c r="D827" t="s">
        <v>15</v>
      </c>
      <c r="E827" t="s">
        <v>16</v>
      </c>
      <c r="F827" t="s">
        <v>25</v>
      </c>
      <c r="G827" t="s">
        <v>95</v>
      </c>
      <c r="H827" t="s">
        <v>96</v>
      </c>
      <c r="I827">
        <v>6</v>
      </c>
      <c r="J827">
        <v>26928</v>
      </c>
      <c r="K827">
        <v>3423.6</v>
      </c>
      <c r="L827">
        <v>0</v>
      </c>
      <c r="M827" t="s">
        <v>20</v>
      </c>
      <c r="N827" t="str">
        <f>TEXT(Table1[[#This Row],[Order Date]],"MMMM")</f>
        <v>November</v>
      </c>
      <c r="O827">
        <f>YEAR(Table1[[#This Row],[Order Date]])</f>
        <v>2025</v>
      </c>
      <c r="P827" t="str">
        <f>"Q"&amp;ROUNDUP(MONTH(Table1[[#This Row],[Order Date]])/3,0)</f>
        <v>Q4</v>
      </c>
      <c r="Q827" s="3">
        <f>Table1[[#This Row],[Profit]]/Table1[[#This Row],[Sales]]</f>
        <v>0.12713903743315508</v>
      </c>
      <c r="R827" t="str">
        <f>IF(Table1[[#This Row],[Sales]]&lt;1000,"LOW",IF(Table1[[#This Row],[Sales]]&lt;5000,"MEDIUM","HIGH"))</f>
        <v>HIGH</v>
      </c>
      <c r="S827" s="2">
        <f>Table1[[#This Row],[Discount]]/100</f>
        <v>0</v>
      </c>
    </row>
    <row r="828" spans="1:19" x14ac:dyDescent="0.3">
      <c r="A828">
        <v>10827</v>
      </c>
      <c r="B828" s="1" t="s">
        <v>455</v>
      </c>
      <c r="C828" t="s">
        <v>396</v>
      </c>
      <c r="D828" t="s">
        <v>36</v>
      </c>
      <c r="E828" t="s">
        <v>37</v>
      </c>
      <c r="F828" t="s">
        <v>25</v>
      </c>
      <c r="G828" t="s">
        <v>26</v>
      </c>
      <c r="H828" t="s">
        <v>71</v>
      </c>
      <c r="I828">
        <v>2</v>
      </c>
      <c r="J828">
        <v>1235.9000000000001</v>
      </c>
      <c r="K828">
        <v>225.58</v>
      </c>
      <c r="L828">
        <v>15</v>
      </c>
      <c r="M828" t="s">
        <v>49</v>
      </c>
      <c r="N828" t="str">
        <f>TEXT(Table1[[#This Row],[Order Date]],"MMMM")</f>
        <v>March</v>
      </c>
      <c r="O828">
        <f>YEAR(Table1[[#This Row],[Order Date]])</f>
        <v>2025</v>
      </c>
      <c r="P828" t="str">
        <f>"Q"&amp;ROUNDUP(MONTH(Table1[[#This Row],[Order Date]])/3,0)</f>
        <v>Q1</v>
      </c>
      <c r="Q828" s="3">
        <f>Table1[[#This Row],[Profit]]/Table1[[#This Row],[Sales]]</f>
        <v>0.18252285783639452</v>
      </c>
      <c r="R828" t="str">
        <f>IF(Table1[[#This Row],[Sales]]&lt;1000,"LOW",IF(Table1[[#This Row],[Sales]]&lt;5000,"MEDIUM","HIGH"))</f>
        <v>MEDIUM</v>
      </c>
      <c r="S828" s="2">
        <f>Table1[[#This Row],[Discount]]/100</f>
        <v>0.15</v>
      </c>
    </row>
    <row r="829" spans="1:19" x14ac:dyDescent="0.3">
      <c r="A829">
        <v>10828</v>
      </c>
      <c r="B829" s="1" t="s">
        <v>117</v>
      </c>
      <c r="C829" t="s">
        <v>341</v>
      </c>
      <c r="D829" t="s">
        <v>60</v>
      </c>
      <c r="E829" t="s">
        <v>61</v>
      </c>
      <c r="F829" t="s">
        <v>17</v>
      </c>
      <c r="G829" t="s">
        <v>75</v>
      </c>
      <c r="H829" t="s">
        <v>116</v>
      </c>
      <c r="I829">
        <v>6</v>
      </c>
      <c r="J829">
        <v>18268.5</v>
      </c>
      <c r="K829">
        <v>3972.69</v>
      </c>
      <c r="L829">
        <v>5</v>
      </c>
      <c r="M829" t="s">
        <v>49</v>
      </c>
      <c r="N829" t="str">
        <f>TEXT(Table1[[#This Row],[Order Date]],"MMMM")</f>
        <v>February</v>
      </c>
      <c r="O829">
        <f>YEAR(Table1[[#This Row],[Order Date]])</f>
        <v>2025</v>
      </c>
      <c r="P829" t="str">
        <f>"Q"&amp;ROUNDUP(MONTH(Table1[[#This Row],[Order Date]])/3,0)</f>
        <v>Q1</v>
      </c>
      <c r="Q829" s="3">
        <f>Table1[[#This Row],[Profit]]/Table1[[#This Row],[Sales]]</f>
        <v>0.21746120371130634</v>
      </c>
      <c r="R829" t="str">
        <f>IF(Table1[[#This Row],[Sales]]&lt;1000,"LOW",IF(Table1[[#This Row],[Sales]]&lt;5000,"MEDIUM","HIGH"))</f>
        <v>HIGH</v>
      </c>
      <c r="S829" s="2">
        <f>Table1[[#This Row],[Discount]]/100</f>
        <v>0.05</v>
      </c>
    </row>
    <row r="830" spans="1:19" x14ac:dyDescent="0.3">
      <c r="A830">
        <v>10829</v>
      </c>
      <c r="B830" s="1" t="s">
        <v>99</v>
      </c>
      <c r="C830" t="s">
        <v>469</v>
      </c>
      <c r="D830" t="s">
        <v>60</v>
      </c>
      <c r="E830" t="s">
        <v>61</v>
      </c>
      <c r="F830" t="s">
        <v>17</v>
      </c>
      <c r="G830" t="s">
        <v>18</v>
      </c>
      <c r="H830" t="s">
        <v>19</v>
      </c>
      <c r="I830">
        <v>4</v>
      </c>
      <c r="J830">
        <v>16085.4</v>
      </c>
      <c r="K830">
        <v>3525.2</v>
      </c>
      <c r="L830">
        <v>5</v>
      </c>
      <c r="M830" t="s">
        <v>40</v>
      </c>
      <c r="N830" t="str">
        <f>TEXT(Table1[[#This Row],[Order Date]],"MMMM")</f>
        <v>August</v>
      </c>
      <c r="O830">
        <f>YEAR(Table1[[#This Row],[Order Date]])</f>
        <v>2025</v>
      </c>
      <c r="P830" t="str">
        <f>"Q"&amp;ROUNDUP(MONTH(Table1[[#This Row],[Order Date]])/3,0)</f>
        <v>Q3</v>
      </c>
      <c r="Q830" s="3">
        <f>Table1[[#This Row],[Profit]]/Table1[[#This Row],[Sales]]</f>
        <v>0.21915525880612233</v>
      </c>
      <c r="R830" t="str">
        <f>IF(Table1[[#This Row],[Sales]]&lt;1000,"LOW",IF(Table1[[#This Row],[Sales]]&lt;5000,"MEDIUM","HIGH"))</f>
        <v>HIGH</v>
      </c>
      <c r="S830" s="2">
        <f>Table1[[#This Row],[Discount]]/100</f>
        <v>0.05</v>
      </c>
    </row>
    <row r="831" spans="1:19" x14ac:dyDescent="0.3">
      <c r="A831">
        <v>10830</v>
      </c>
      <c r="B831" s="1" t="s">
        <v>299</v>
      </c>
      <c r="C831" t="s">
        <v>118</v>
      </c>
      <c r="D831" t="s">
        <v>56</v>
      </c>
      <c r="E831" t="s">
        <v>57</v>
      </c>
      <c r="F831" t="s">
        <v>17</v>
      </c>
      <c r="G831" t="s">
        <v>43</v>
      </c>
      <c r="H831" t="s">
        <v>44</v>
      </c>
      <c r="I831">
        <v>5</v>
      </c>
      <c r="J831">
        <v>16362</v>
      </c>
      <c r="K831">
        <v>2362.6799999999998</v>
      </c>
      <c r="L831">
        <v>10</v>
      </c>
      <c r="M831" t="s">
        <v>45</v>
      </c>
      <c r="N831" t="str">
        <f>TEXT(Table1[[#This Row],[Order Date]],"MMMM")</f>
        <v>February</v>
      </c>
      <c r="O831">
        <f>YEAR(Table1[[#This Row],[Order Date]])</f>
        <v>2025</v>
      </c>
      <c r="P831" t="str">
        <f>"Q"&amp;ROUNDUP(MONTH(Table1[[#This Row],[Order Date]])/3,0)</f>
        <v>Q1</v>
      </c>
      <c r="Q831" s="3">
        <f>Table1[[#This Row],[Profit]]/Table1[[#This Row],[Sales]]</f>
        <v>0.1444004400440044</v>
      </c>
      <c r="R831" t="str">
        <f>IF(Table1[[#This Row],[Sales]]&lt;1000,"LOW",IF(Table1[[#This Row],[Sales]]&lt;5000,"MEDIUM","HIGH"))</f>
        <v>HIGH</v>
      </c>
      <c r="S831" s="2">
        <f>Table1[[#This Row],[Discount]]/100</f>
        <v>0.1</v>
      </c>
    </row>
    <row r="832" spans="1:19" x14ac:dyDescent="0.3">
      <c r="A832">
        <v>10831</v>
      </c>
      <c r="B832" s="1" t="s">
        <v>559</v>
      </c>
      <c r="C832" t="s">
        <v>528</v>
      </c>
      <c r="D832" t="s">
        <v>52</v>
      </c>
      <c r="E832" t="s">
        <v>53</v>
      </c>
      <c r="F832" t="s">
        <v>17</v>
      </c>
      <c r="G832" t="s">
        <v>75</v>
      </c>
      <c r="H832" t="s">
        <v>76</v>
      </c>
      <c r="I832">
        <v>6</v>
      </c>
      <c r="J832">
        <v>10427.4</v>
      </c>
      <c r="K832">
        <v>1626.11</v>
      </c>
      <c r="L832">
        <v>10</v>
      </c>
      <c r="M832" t="s">
        <v>45</v>
      </c>
      <c r="N832" t="str">
        <f>TEXT(Table1[[#This Row],[Order Date]],"MMMM")</f>
        <v>March</v>
      </c>
      <c r="O832">
        <f>YEAR(Table1[[#This Row],[Order Date]])</f>
        <v>2025</v>
      </c>
      <c r="P832" t="str">
        <f>"Q"&amp;ROUNDUP(MONTH(Table1[[#This Row],[Order Date]])/3,0)</f>
        <v>Q1</v>
      </c>
      <c r="Q832" s="3">
        <f>Table1[[#This Row],[Profit]]/Table1[[#This Row],[Sales]]</f>
        <v>0.15594587337207741</v>
      </c>
      <c r="R832" t="str">
        <f>IF(Table1[[#This Row],[Sales]]&lt;1000,"LOW",IF(Table1[[#This Row],[Sales]]&lt;5000,"MEDIUM","HIGH"))</f>
        <v>HIGH</v>
      </c>
      <c r="S832" s="2">
        <f>Table1[[#This Row],[Discount]]/100</f>
        <v>0.1</v>
      </c>
    </row>
    <row r="833" spans="1:19" x14ac:dyDescent="0.3">
      <c r="A833">
        <v>10832</v>
      </c>
      <c r="B833" s="1" t="s">
        <v>540</v>
      </c>
      <c r="C833" t="s">
        <v>203</v>
      </c>
      <c r="D833" t="s">
        <v>23</v>
      </c>
      <c r="E833" t="s">
        <v>24</v>
      </c>
      <c r="F833" t="s">
        <v>31</v>
      </c>
      <c r="G833" t="s">
        <v>38</v>
      </c>
      <c r="H833" t="s">
        <v>39</v>
      </c>
      <c r="I833">
        <v>6</v>
      </c>
      <c r="J833">
        <v>21582</v>
      </c>
      <c r="K833">
        <v>4417.79</v>
      </c>
      <c r="L833">
        <v>0</v>
      </c>
      <c r="M833" t="s">
        <v>28</v>
      </c>
      <c r="N833" t="str">
        <f>TEXT(Table1[[#This Row],[Order Date]],"MMMM")</f>
        <v>May</v>
      </c>
      <c r="O833">
        <f>YEAR(Table1[[#This Row],[Order Date]])</f>
        <v>2025</v>
      </c>
      <c r="P833" t="str">
        <f>"Q"&amp;ROUNDUP(MONTH(Table1[[#This Row],[Order Date]])/3,0)</f>
        <v>Q2</v>
      </c>
      <c r="Q833" s="3">
        <f>Table1[[#This Row],[Profit]]/Table1[[#This Row],[Sales]]</f>
        <v>0.2046978963951441</v>
      </c>
      <c r="R833" t="str">
        <f>IF(Table1[[#This Row],[Sales]]&lt;1000,"LOW",IF(Table1[[#This Row],[Sales]]&lt;5000,"MEDIUM","HIGH"))</f>
        <v>HIGH</v>
      </c>
      <c r="S833" s="2">
        <f>Table1[[#This Row],[Discount]]/100</f>
        <v>0</v>
      </c>
    </row>
    <row r="834" spans="1:19" x14ac:dyDescent="0.3">
      <c r="A834">
        <v>10833</v>
      </c>
      <c r="B834" s="1" t="s">
        <v>496</v>
      </c>
      <c r="C834" t="s">
        <v>480</v>
      </c>
      <c r="D834" t="s">
        <v>52</v>
      </c>
      <c r="E834" t="s">
        <v>53</v>
      </c>
      <c r="F834" t="s">
        <v>25</v>
      </c>
      <c r="G834" t="s">
        <v>26</v>
      </c>
      <c r="H834" t="s">
        <v>27</v>
      </c>
      <c r="I834">
        <v>8</v>
      </c>
      <c r="J834">
        <v>28648</v>
      </c>
      <c r="K834">
        <v>3158.67</v>
      </c>
      <c r="L834">
        <v>0</v>
      </c>
      <c r="M834" t="s">
        <v>49</v>
      </c>
      <c r="N834" t="str">
        <f>TEXT(Table1[[#This Row],[Order Date]],"MMMM")</f>
        <v>May</v>
      </c>
      <c r="O834">
        <f>YEAR(Table1[[#This Row],[Order Date]])</f>
        <v>2025</v>
      </c>
      <c r="P834" t="str">
        <f>"Q"&amp;ROUNDUP(MONTH(Table1[[#This Row],[Order Date]])/3,0)</f>
        <v>Q2</v>
      </c>
      <c r="Q834" s="3">
        <f>Table1[[#This Row],[Profit]]/Table1[[#This Row],[Sales]]</f>
        <v>0.11025795867076237</v>
      </c>
      <c r="R834" t="str">
        <f>IF(Table1[[#This Row],[Sales]]&lt;1000,"LOW",IF(Table1[[#This Row],[Sales]]&lt;5000,"MEDIUM","HIGH"))</f>
        <v>HIGH</v>
      </c>
      <c r="S834" s="2">
        <f>Table1[[#This Row],[Discount]]/100</f>
        <v>0</v>
      </c>
    </row>
    <row r="835" spans="1:19" x14ac:dyDescent="0.3">
      <c r="A835">
        <v>10834</v>
      </c>
      <c r="B835" s="1" t="s">
        <v>323</v>
      </c>
      <c r="C835" t="s">
        <v>195</v>
      </c>
      <c r="D835" t="s">
        <v>15</v>
      </c>
      <c r="E835" t="s">
        <v>16</v>
      </c>
      <c r="F835" t="s">
        <v>17</v>
      </c>
      <c r="G835" t="s">
        <v>75</v>
      </c>
      <c r="H835" t="s">
        <v>116</v>
      </c>
      <c r="I835">
        <v>4</v>
      </c>
      <c r="J835">
        <v>7894.4</v>
      </c>
      <c r="K835">
        <v>1873.22</v>
      </c>
      <c r="L835">
        <v>20</v>
      </c>
      <c r="M835" t="s">
        <v>40</v>
      </c>
      <c r="N835" t="str">
        <f>TEXT(Table1[[#This Row],[Order Date]],"MMMM")</f>
        <v>December</v>
      </c>
      <c r="O835">
        <f>YEAR(Table1[[#This Row],[Order Date]])</f>
        <v>2025</v>
      </c>
      <c r="P835" t="str">
        <f>"Q"&amp;ROUNDUP(MONTH(Table1[[#This Row],[Order Date]])/3,0)</f>
        <v>Q4</v>
      </c>
      <c r="Q835" s="3">
        <f>Table1[[#This Row],[Profit]]/Table1[[#This Row],[Sales]]</f>
        <v>0.2372846574787191</v>
      </c>
      <c r="R835" t="str">
        <f>IF(Table1[[#This Row],[Sales]]&lt;1000,"LOW",IF(Table1[[#This Row],[Sales]]&lt;5000,"MEDIUM","HIGH"))</f>
        <v>HIGH</v>
      </c>
      <c r="S835" s="2">
        <f>Table1[[#This Row],[Discount]]/100</f>
        <v>0.2</v>
      </c>
    </row>
    <row r="836" spans="1:19" x14ac:dyDescent="0.3">
      <c r="A836">
        <v>10835</v>
      </c>
      <c r="B836" s="1" t="s">
        <v>303</v>
      </c>
      <c r="C836" t="s">
        <v>435</v>
      </c>
      <c r="D836" t="s">
        <v>74</v>
      </c>
      <c r="E836" t="s">
        <v>74</v>
      </c>
      <c r="F836" t="s">
        <v>17</v>
      </c>
      <c r="G836" t="s">
        <v>18</v>
      </c>
      <c r="H836" t="s">
        <v>19</v>
      </c>
      <c r="I836">
        <v>6</v>
      </c>
      <c r="J836">
        <v>7650</v>
      </c>
      <c r="K836">
        <v>753.35</v>
      </c>
      <c r="L836">
        <v>0</v>
      </c>
      <c r="M836" t="s">
        <v>49</v>
      </c>
      <c r="N836" t="str">
        <f>TEXT(Table1[[#This Row],[Order Date]],"MMMM")</f>
        <v>January</v>
      </c>
      <c r="O836">
        <f>YEAR(Table1[[#This Row],[Order Date]])</f>
        <v>2025</v>
      </c>
      <c r="P836" t="str">
        <f>"Q"&amp;ROUNDUP(MONTH(Table1[[#This Row],[Order Date]])/3,0)</f>
        <v>Q1</v>
      </c>
      <c r="Q836" s="3">
        <f>Table1[[#This Row],[Profit]]/Table1[[#This Row],[Sales]]</f>
        <v>9.847712418300654E-2</v>
      </c>
      <c r="R836" t="str">
        <f>IF(Table1[[#This Row],[Sales]]&lt;1000,"LOW",IF(Table1[[#This Row],[Sales]]&lt;5000,"MEDIUM","HIGH"))</f>
        <v>HIGH</v>
      </c>
      <c r="S836" s="2">
        <f>Table1[[#This Row],[Discount]]/100</f>
        <v>0</v>
      </c>
    </row>
    <row r="837" spans="1:19" x14ac:dyDescent="0.3">
      <c r="A837">
        <v>10836</v>
      </c>
      <c r="B837" s="1" t="s">
        <v>434</v>
      </c>
      <c r="C837" t="s">
        <v>300</v>
      </c>
      <c r="D837" t="s">
        <v>23</v>
      </c>
      <c r="E837" t="s">
        <v>24</v>
      </c>
      <c r="F837" t="s">
        <v>31</v>
      </c>
      <c r="G837" t="s">
        <v>124</v>
      </c>
      <c r="H837" t="s">
        <v>125</v>
      </c>
      <c r="I837">
        <v>7</v>
      </c>
      <c r="J837">
        <v>15708</v>
      </c>
      <c r="K837">
        <v>1762.98</v>
      </c>
      <c r="L837">
        <v>0</v>
      </c>
      <c r="M837" t="s">
        <v>45</v>
      </c>
      <c r="N837" t="str">
        <f>TEXT(Table1[[#This Row],[Order Date]],"MMMM")</f>
        <v>June</v>
      </c>
      <c r="O837">
        <f>YEAR(Table1[[#This Row],[Order Date]])</f>
        <v>2025</v>
      </c>
      <c r="P837" t="str">
        <f>"Q"&amp;ROUNDUP(MONTH(Table1[[#This Row],[Order Date]])/3,0)</f>
        <v>Q2</v>
      </c>
      <c r="Q837" s="3">
        <f>Table1[[#This Row],[Profit]]/Table1[[#This Row],[Sales]]</f>
        <v>0.11223453017570664</v>
      </c>
      <c r="R837" t="str">
        <f>IF(Table1[[#This Row],[Sales]]&lt;1000,"LOW",IF(Table1[[#This Row],[Sales]]&lt;5000,"MEDIUM","HIGH"))</f>
        <v>HIGH</v>
      </c>
      <c r="S837" s="2">
        <f>Table1[[#This Row],[Discount]]/100</f>
        <v>0</v>
      </c>
    </row>
    <row r="838" spans="1:19" x14ac:dyDescent="0.3">
      <c r="A838">
        <v>10837</v>
      </c>
      <c r="B838" s="1" t="s">
        <v>485</v>
      </c>
      <c r="C838" t="s">
        <v>527</v>
      </c>
      <c r="D838" t="s">
        <v>52</v>
      </c>
      <c r="E838" t="s">
        <v>53</v>
      </c>
      <c r="F838" t="s">
        <v>25</v>
      </c>
      <c r="G838" t="s">
        <v>26</v>
      </c>
      <c r="H838" t="s">
        <v>27</v>
      </c>
      <c r="I838">
        <v>7</v>
      </c>
      <c r="J838">
        <v>23354.1</v>
      </c>
      <c r="K838">
        <v>3844.11</v>
      </c>
      <c r="L838">
        <v>10</v>
      </c>
      <c r="M838" t="s">
        <v>49</v>
      </c>
      <c r="N838" t="str">
        <f>TEXT(Table1[[#This Row],[Order Date]],"MMMM")</f>
        <v>November</v>
      </c>
      <c r="O838">
        <f>YEAR(Table1[[#This Row],[Order Date]])</f>
        <v>2025</v>
      </c>
      <c r="P838" t="str">
        <f>"Q"&amp;ROUNDUP(MONTH(Table1[[#This Row],[Order Date]])/3,0)</f>
        <v>Q4</v>
      </c>
      <c r="Q838" s="3">
        <f>Table1[[#This Row],[Profit]]/Table1[[#This Row],[Sales]]</f>
        <v>0.1646010764705127</v>
      </c>
      <c r="R838" t="str">
        <f>IF(Table1[[#This Row],[Sales]]&lt;1000,"LOW",IF(Table1[[#This Row],[Sales]]&lt;5000,"MEDIUM","HIGH"))</f>
        <v>HIGH</v>
      </c>
      <c r="S838" s="2">
        <f>Table1[[#This Row],[Discount]]/100</f>
        <v>0.1</v>
      </c>
    </row>
    <row r="839" spans="1:19" x14ac:dyDescent="0.3">
      <c r="A839">
        <v>10838</v>
      </c>
      <c r="B839" s="1" t="s">
        <v>514</v>
      </c>
      <c r="C839" t="s">
        <v>210</v>
      </c>
      <c r="D839" t="s">
        <v>66</v>
      </c>
      <c r="E839" t="s">
        <v>16</v>
      </c>
      <c r="F839" t="s">
        <v>17</v>
      </c>
      <c r="G839" t="s">
        <v>75</v>
      </c>
      <c r="H839" t="s">
        <v>116</v>
      </c>
      <c r="I839">
        <v>7</v>
      </c>
      <c r="J839">
        <v>2335.1999999999998</v>
      </c>
      <c r="K839">
        <v>430.91</v>
      </c>
      <c r="L839">
        <v>20</v>
      </c>
      <c r="M839" t="s">
        <v>20</v>
      </c>
      <c r="N839" t="str">
        <f>TEXT(Table1[[#This Row],[Order Date]],"MMMM")</f>
        <v>November</v>
      </c>
      <c r="O839">
        <f>YEAR(Table1[[#This Row],[Order Date]])</f>
        <v>2025</v>
      </c>
      <c r="P839" t="str">
        <f>"Q"&amp;ROUNDUP(MONTH(Table1[[#This Row],[Order Date]])/3,0)</f>
        <v>Q4</v>
      </c>
      <c r="Q839" s="3">
        <f>Table1[[#This Row],[Profit]]/Table1[[#This Row],[Sales]]</f>
        <v>0.18452809181226451</v>
      </c>
      <c r="R839" t="str">
        <f>IF(Table1[[#This Row],[Sales]]&lt;1000,"LOW",IF(Table1[[#This Row],[Sales]]&lt;5000,"MEDIUM","HIGH"))</f>
        <v>MEDIUM</v>
      </c>
      <c r="S839" s="2">
        <f>Table1[[#This Row],[Discount]]/100</f>
        <v>0.2</v>
      </c>
    </row>
    <row r="840" spans="1:19" x14ac:dyDescent="0.3">
      <c r="A840">
        <v>10839</v>
      </c>
      <c r="B840" s="1" t="s">
        <v>329</v>
      </c>
      <c r="C840" t="s">
        <v>42</v>
      </c>
      <c r="D840" t="s">
        <v>52</v>
      </c>
      <c r="E840" t="s">
        <v>53</v>
      </c>
      <c r="F840" t="s">
        <v>25</v>
      </c>
      <c r="G840" t="s">
        <v>26</v>
      </c>
      <c r="H840" t="s">
        <v>48</v>
      </c>
      <c r="I840">
        <v>4</v>
      </c>
      <c r="J840">
        <v>9840</v>
      </c>
      <c r="K840">
        <v>1710.08</v>
      </c>
      <c r="L840">
        <v>20</v>
      </c>
      <c r="M840" t="s">
        <v>28</v>
      </c>
      <c r="N840" t="str">
        <f>TEXT(Table1[[#This Row],[Order Date]],"MMMM")</f>
        <v>August</v>
      </c>
      <c r="O840">
        <f>YEAR(Table1[[#This Row],[Order Date]])</f>
        <v>2025</v>
      </c>
      <c r="P840" t="str">
        <f>"Q"&amp;ROUNDUP(MONTH(Table1[[#This Row],[Order Date]])/3,0)</f>
        <v>Q3</v>
      </c>
      <c r="Q840" s="3">
        <f>Table1[[#This Row],[Profit]]/Table1[[#This Row],[Sales]]</f>
        <v>0.17378861788617886</v>
      </c>
      <c r="R840" t="str">
        <f>IF(Table1[[#This Row],[Sales]]&lt;1000,"LOW",IF(Table1[[#This Row],[Sales]]&lt;5000,"MEDIUM","HIGH"))</f>
        <v>HIGH</v>
      </c>
      <c r="S840" s="2">
        <f>Table1[[#This Row],[Discount]]/100</f>
        <v>0.2</v>
      </c>
    </row>
    <row r="841" spans="1:19" x14ac:dyDescent="0.3">
      <c r="A841">
        <v>10840</v>
      </c>
      <c r="B841" s="1" t="s">
        <v>517</v>
      </c>
      <c r="C841" t="s">
        <v>417</v>
      </c>
      <c r="D841" t="s">
        <v>60</v>
      </c>
      <c r="E841" t="s">
        <v>61</v>
      </c>
      <c r="F841" t="s">
        <v>25</v>
      </c>
      <c r="G841" t="s">
        <v>26</v>
      </c>
      <c r="H841" t="s">
        <v>48</v>
      </c>
      <c r="I841">
        <v>5</v>
      </c>
      <c r="J841">
        <v>4761</v>
      </c>
      <c r="K841">
        <v>1260.21</v>
      </c>
      <c r="L841">
        <v>10</v>
      </c>
      <c r="M841" t="s">
        <v>20</v>
      </c>
      <c r="N841" t="str">
        <f>TEXT(Table1[[#This Row],[Order Date]],"MMMM")</f>
        <v>March</v>
      </c>
      <c r="O841">
        <f>YEAR(Table1[[#This Row],[Order Date]])</f>
        <v>2025</v>
      </c>
      <c r="P841" t="str">
        <f>"Q"&amp;ROUNDUP(MONTH(Table1[[#This Row],[Order Date]])/3,0)</f>
        <v>Q1</v>
      </c>
      <c r="Q841" s="3">
        <f>Table1[[#This Row],[Profit]]/Table1[[#This Row],[Sales]]</f>
        <v>0.26469439193446753</v>
      </c>
      <c r="R841" t="str">
        <f>IF(Table1[[#This Row],[Sales]]&lt;1000,"LOW",IF(Table1[[#This Row],[Sales]]&lt;5000,"MEDIUM","HIGH"))</f>
        <v>MEDIUM</v>
      </c>
      <c r="S841" s="2">
        <f>Table1[[#This Row],[Discount]]/100</f>
        <v>0.1</v>
      </c>
    </row>
    <row r="842" spans="1:19" x14ac:dyDescent="0.3">
      <c r="A842">
        <v>10841</v>
      </c>
      <c r="B842" s="1" t="s">
        <v>384</v>
      </c>
      <c r="C842" t="s">
        <v>412</v>
      </c>
      <c r="D842" t="s">
        <v>66</v>
      </c>
      <c r="E842" t="s">
        <v>16</v>
      </c>
      <c r="F842" t="s">
        <v>25</v>
      </c>
      <c r="G842" t="s">
        <v>95</v>
      </c>
      <c r="H842" t="s">
        <v>96</v>
      </c>
      <c r="I842">
        <v>6</v>
      </c>
      <c r="J842">
        <v>18168</v>
      </c>
      <c r="K842">
        <v>2449.89</v>
      </c>
      <c r="L842">
        <v>20</v>
      </c>
      <c r="M842" t="s">
        <v>49</v>
      </c>
      <c r="N842" t="str">
        <f>TEXT(Table1[[#This Row],[Order Date]],"MMMM")</f>
        <v>November</v>
      </c>
      <c r="O842">
        <f>YEAR(Table1[[#This Row],[Order Date]])</f>
        <v>2025</v>
      </c>
      <c r="P842" t="str">
        <f>"Q"&amp;ROUNDUP(MONTH(Table1[[#This Row],[Order Date]])/3,0)</f>
        <v>Q4</v>
      </c>
      <c r="Q842" s="3">
        <f>Table1[[#This Row],[Profit]]/Table1[[#This Row],[Sales]]</f>
        <v>0.13484643328929985</v>
      </c>
      <c r="R842" t="str">
        <f>IF(Table1[[#This Row],[Sales]]&lt;1000,"LOW",IF(Table1[[#This Row],[Sales]]&lt;5000,"MEDIUM","HIGH"))</f>
        <v>HIGH</v>
      </c>
      <c r="S842" s="2">
        <f>Table1[[#This Row],[Discount]]/100</f>
        <v>0.2</v>
      </c>
    </row>
    <row r="843" spans="1:19" x14ac:dyDescent="0.3">
      <c r="A843">
        <v>10842</v>
      </c>
      <c r="B843" s="1" t="s">
        <v>425</v>
      </c>
      <c r="C843" t="s">
        <v>498</v>
      </c>
      <c r="D843" t="s">
        <v>60</v>
      </c>
      <c r="E843" t="s">
        <v>61</v>
      </c>
      <c r="F843" t="s">
        <v>17</v>
      </c>
      <c r="G843" t="s">
        <v>43</v>
      </c>
      <c r="H843" t="s">
        <v>44</v>
      </c>
      <c r="I843">
        <v>7</v>
      </c>
      <c r="J843">
        <v>13998.6</v>
      </c>
      <c r="K843">
        <v>2162.4699999999998</v>
      </c>
      <c r="L843">
        <v>10</v>
      </c>
      <c r="M843" t="s">
        <v>20</v>
      </c>
      <c r="N843" t="str">
        <f>TEXT(Table1[[#This Row],[Order Date]],"MMMM")</f>
        <v>November</v>
      </c>
      <c r="O843">
        <f>YEAR(Table1[[#This Row],[Order Date]])</f>
        <v>2025</v>
      </c>
      <c r="P843" t="str">
        <f>"Q"&amp;ROUNDUP(MONTH(Table1[[#This Row],[Order Date]])/3,0)</f>
        <v>Q4</v>
      </c>
      <c r="Q843" s="3">
        <f>Table1[[#This Row],[Profit]]/Table1[[#This Row],[Sales]]</f>
        <v>0.15447759061620445</v>
      </c>
      <c r="R843" t="str">
        <f>IF(Table1[[#This Row],[Sales]]&lt;1000,"LOW",IF(Table1[[#This Row],[Sales]]&lt;5000,"MEDIUM","HIGH"))</f>
        <v>HIGH</v>
      </c>
      <c r="S843" s="2">
        <f>Table1[[#This Row],[Discount]]/100</f>
        <v>0.1</v>
      </c>
    </row>
    <row r="844" spans="1:19" x14ac:dyDescent="0.3">
      <c r="A844">
        <v>10843</v>
      </c>
      <c r="B844" s="1" t="s">
        <v>213</v>
      </c>
      <c r="C844" t="s">
        <v>295</v>
      </c>
      <c r="D844" t="s">
        <v>23</v>
      </c>
      <c r="E844" t="s">
        <v>24</v>
      </c>
      <c r="F844" t="s">
        <v>17</v>
      </c>
      <c r="G844" t="s">
        <v>75</v>
      </c>
      <c r="H844" t="s">
        <v>116</v>
      </c>
      <c r="I844">
        <v>8</v>
      </c>
      <c r="J844">
        <v>24836.799999999999</v>
      </c>
      <c r="K844">
        <v>3557.73</v>
      </c>
      <c r="L844">
        <v>5</v>
      </c>
      <c r="M844" t="s">
        <v>20</v>
      </c>
      <c r="N844" t="str">
        <f>TEXT(Table1[[#This Row],[Order Date]],"MMMM")</f>
        <v>February</v>
      </c>
      <c r="O844">
        <f>YEAR(Table1[[#This Row],[Order Date]])</f>
        <v>2025</v>
      </c>
      <c r="P844" t="str">
        <f>"Q"&amp;ROUNDUP(MONTH(Table1[[#This Row],[Order Date]])/3,0)</f>
        <v>Q1</v>
      </c>
      <c r="Q844" s="3">
        <f>Table1[[#This Row],[Profit]]/Table1[[#This Row],[Sales]]</f>
        <v>0.14324429878245185</v>
      </c>
      <c r="R844" t="str">
        <f>IF(Table1[[#This Row],[Sales]]&lt;1000,"LOW",IF(Table1[[#This Row],[Sales]]&lt;5000,"MEDIUM","HIGH"))</f>
        <v>HIGH</v>
      </c>
      <c r="S844" s="2">
        <f>Table1[[#This Row],[Discount]]/100</f>
        <v>0.05</v>
      </c>
    </row>
    <row r="845" spans="1:19" x14ac:dyDescent="0.3">
      <c r="A845">
        <v>10844</v>
      </c>
      <c r="B845" s="1" t="s">
        <v>517</v>
      </c>
      <c r="C845" t="s">
        <v>443</v>
      </c>
      <c r="D845" t="s">
        <v>66</v>
      </c>
      <c r="E845" t="s">
        <v>16</v>
      </c>
      <c r="F845" t="s">
        <v>25</v>
      </c>
      <c r="G845" t="s">
        <v>26</v>
      </c>
      <c r="H845" t="s">
        <v>71</v>
      </c>
      <c r="I845">
        <v>2</v>
      </c>
      <c r="J845">
        <v>6448.1</v>
      </c>
      <c r="K845">
        <v>1647.36</v>
      </c>
      <c r="L845">
        <v>15</v>
      </c>
      <c r="M845" t="s">
        <v>40</v>
      </c>
      <c r="N845" t="str">
        <f>TEXT(Table1[[#This Row],[Order Date]],"MMMM")</f>
        <v>March</v>
      </c>
      <c r="O845">
        <f>YEAR(Table1[[#This Row],[Order Date]])</f>
        <v>2025</v>
      </c>
      <c r="P845" t="str">
        <f>"Q"&amp;ROUNDUP(MONTH(Table1[[#This Row],[Order Date]])/3,0)</f>
        <v>Q1</v>
      </c>
      <c r="Q845" s="3">
        <f>Table1[[#This Row],[Profit]]/Table1[[#This Row],[Sales]]</f>
        <v>0.25547990881034721</v>
      </c>
      <c r="R845" t="str">
        <f>IF(Table1[[#This Row],[Sales]]&lt;1000,"LOW",IF(Table1[[#This Row],[Sales]]&lt;5000,"MEDIUM","HIGH"))</f>
        <v>HIGH</v>
      </c>
      <c r="S845" s="2">
        <f>Table1[[#This Row],[Discount]]/100</f>
        <v>0.15</v>
      </c>
    </row>
    <row r="846" spans="1:19" x14ac:dyDescent="0.3">
      <c r="A846">
        <v>10845</v>
      </c>
      <c r="B846" s="1" t="s">
        <v>178</v>
      </c>
      <c r="C846" t="s">
        <v>308</v>
      </c>
      <c r="D846" t="s">
        <v>56</v>
      </c>
      <c r="E846" t="s">
        <v>57</v>
      </c>
      <c r="F846" t="s">
        <v>31</v>
      </c>
      <c r="G846" t="s">
        <v>38</v>
      </c>
      <c r="H846" t="s">
        <v>39</v>
      </c>
      <c r="I846">
        <v>6</v>
      </c>
      <c r="J846">
        <v>10492.2</v>
      </c>
      <c r="K846">
        <v>2661.2</v>
      </c>
      <c r="L846">
        <v>10</v>
      </c>
      <c r="M846" t="s">
        <v>20</v>
      </c>
      <c r="N846" t="str">
        <f>TEXT(Table1[[#This Row],[Order Date]],"MMMM")</f>
        <v>January</v>
      </c>
      <c r="O846">
        <f>YEAR(Table1[[#This Row],[Order Date]])</f>
        <v>2025</v>
      </c>
      <c r="P846" t="str">
        <f>"Q"&amp;ROUNDUP(MONTH(Table1[[#This Row],[Order Date]])/3,0)</f>
        <v>Q1</v>
      </c>
      <c r="Q846" s="3">
        <f>Table1[[#This Row],[Profit]]/Table1[[#This Row],[Sales]]</f>
        <v>0.25363603438744969</v>
      </c>
      <c r="R846" t="str">
        <f>IF(Table1[[#This Row],[Sales]]&lt;1000,"LOW",IF(Table1[[#This Row],[Sales]]&lt;5000,"MEDIUM","HIGH"))</f>
        <v>HIGH</v>
      </c>
      <c r="S846" s="2">
        <f>Table1[[#This Row],[Discount]]/100</f>
        <v>0.1</v>
      </c>
    </row>
    <row r="847" spans="1:19" x14ac:dyDescent="0.3">
      <c r="A847">
        <v>10846</v>
      </c>
      <c r="B847" s="1" t="s">
        <v>568</v>
      </c>
      <c r="C847" t="s">
        <v>150</v>
      </c>
      <c r="D847" t="s">
        <v>74</v>
      </c>
      <c r="E847" t="s">
        <v>74</v>
      </c>
      <c r="F847" t="s">
        <v>25</v>
      </c>
      <c r="G847" t="s">
        <v>26</v>
      </c>
      <c r="H847" t="s">
        <v>48</v>
      </c>
      <c r="I847">
        <v>8</v>
      </c>
      <c r="J847">
        <v>24026.400000000001</v>
      </c>
      <c r="K847">
        <v>7026.08</v>
      </c>
      <c r="L847">
        <v>10</v>
      </c>
      <c r="M847" t="s">
        <v>20</v>
      </c>
      <c r="N847" t="str">
        <f>TEXT(Table1[[#This Row],[Order Date]],"MMMM")</f>
        <v>November</v>
      </c>
      <c r="O847">
        <f>YEAR(Table1[[#This Row],[Order Date]])</f>
        <v>2025</v>
      </c>
      <c r="P847" t="str">
        <f>"Q"&amp;ROUNDUP(MONTH(Table1[[#This Row],[Order Date]])/3,0)</f>
        <v>Q4</v>
      </c>
      <c r="Q847" s="3">
        <f>Table1[[#This Row],[Profit]]/Table1[[#This Row],[Sales]]</f>
        <v>0.29243165850897346</v>
      </c>
      <c r="R847" t="str">
        <f>IF(Table1[[#This Row],[Sales]]&lt;1000,"LOW",IF(Table1[[#This Row],[Sales]]&lt;5000,"MEDIUM","HIGH"))</f>
        <v>HIGH</v>
      </c>
      <c r="S847" s="2">
        <f>Table1[[#This Row],[Discount]]/100</f>
        <v>0.1</v>
      </c>
    </row>
    <row r="848" spans="1:19" x14ac:dyDescent="0.3">
      <c r="A848">
        <v>10847</v>
      </c>
      <c r="B848" s="1" t="s">
        <v>252</v>
      </c>
      <c r="C848" t="s">
        <v>144</v>
      </c>
      <c r="D848" t="s">
        <v>52</v>
      </c>
      <c r="E848" t="s">
        <v>53</v>
      </c>
      <c r="F848" t="s">
        <v>17</v>
      </c>
      <c r="G848" t="s">
        <v>43</v>
      </c>
      <c r="H848" t="s">
        <v>44</v>
      </c>
      <c r="I848">
        <v>8</v>
      </c>
      <c r="J848">
        <v>22494.400000000001</v>
      </c>
      <c r="K848">
        <v>6416.68</v>
      </c>
      <c r="L848">
        <v>15</v>
      </c>
      <c r="M848" t="s">
        <v>40</v>
      </c>
      <c r="N848" t="str">
        <f>TEXT(Table1[[#This Row],[Order Date]],"MMMM")</f>
        <v>September</v>
      </c>
      <c r="O848">
        <f>YEAR(Table1[[#This Row],[Order Date]])</f>
        <v>2025</v>
      </c>
      <c r="P848" t="str">
        <f>"Q"&amp;ROUNDUP(MONTH(Table1[[#This Row],[Order Date]])/3,0)</f>
        <v>Q3</v>
      </c>
      <c r="Q848" s="3">
        <f>Table1[[#This Row],[Profit]]/Table1[[#This Row],[Sales]]</f>
        <v>0.28525677501956043</v>
      </c>
      <c r="R848" t="str">
        <f>IF(Table1[[#This Row],[Sales]]&lt;1000,"LOW",IF(Table1[[#This Row],[Sales]]&lt;5000,"MEDIUM","HIGH"))</f>
        <v>HIGH</v>
      </c>
      <c r="S848" s="2">
        <f>Table1[[#This Row],[Discount]]/100</f>
        <v>0.15</v>
      </c>
    </row>
    <row r="849" spans="1:19" x14ac:dyDescent="0.3">
      <c r="A849">
        <v>10848</v>
      </c>
      <c r="B849" s="1" t="s">
        <v>553</v>
      </c>
      <c r="C849" t="s">
        <v>544</v>
      </c>
      <c r="D849" t="s">
        <v>60</v>
      </c>
      <c r="E849" t="s">
        <v>61</v>
      </c>
      <c r="F849" t="s">
        <v>17</v>
      </c>
      <c r="G849" t="s">
        <v>43</v>
      </c>
      <c r="H849" t="s">
        <v>44</v>
      </c>
      <c r="I849">
        <v>2</v>
      </c>
      <c r="J849">
        <v>1169.5999999999999</v>
      </c>
      <c r="K849">
        <v>189.05</v>
      </c>
      <c r="L849">
        <v>20</v>
      </c>
      <c r="M849" t="s">
        <v>49</v>
      </c>
      <c r="N849" t="str">
        <f>TEXT(Table1[[#This Row],[Order Date]],"MMMM")</f>
        <v>June</v>
      </c>
      <c r="O849">
        <f>YEAR(Table1[[#This Row],[Order Date]])</f>
        <v>2025</v>
      </c>
      <c r="P849" t="str">
        <f>"Q"&amp;ROUNDUP(MONTH(Table1[[#This Row],[Order Date]])/3,0)</f>
        <v>Q2</v>
      </c>
      <c r="Q849" s="3">
        <f>Table1[[#This Row],[Profit]]/Table1[[#This Row],[Sales]]</f>
        <v>0.16163645690834474</v>
      </c>
      <c r="R849" t="str">
        <f>IF(Table1[[#This Row],[Sales]]&lt;1000,"LOW",IF(Table1[[#This Row],[Sales]]&lt;5000,"MEDIUM","HIGH"))</f>
        <v>MEDIUM</v>
      </c>
      <c r="S849" s="2">
        <f>Table1[[#This Row],[Discount]]/100</f>
        <v>0.2</v>
      </c>
    </row>
    <row r="850" spans="1:19" x14ac:dyDescent="0.3">
      <c r="A850">
        <v>10849</v>
      </c>
      <c r="B850" s="1" t="s">
        <v>566</v>
      </c>
      <c r="C850" t="s">
        <v>286</v>
      </c>
      <c r="D850" t="s">
        <v>60</v>
      </c>
      <c r="E850" t="s">
        <v>61</v>
      </c>
      <c r="F850" t="s">
        <v>17</v>
      </c>
      <c r="G850" t="s">
        <v>43</v>
      </c>
      <c r="H850" t="s">
        <v>44</v>
      </c>
      <c r="I850">
        <v>8</v>
      </c>
      <c r="J850">
        <v>19033.599999999999</v>
      </c>
      <c r="K850">
        <v>4575.83</v>
      </c>
      <c r="L850">
        <v>20</v>
      </c>
      <c r="M850" t="s">
        <v>49</v>
      </c>
      <c r="N850" t="str">
        <f>TEXT(Table1[[#This Row],[Order Date]],"MMMM")</f>
        <v>August</v>
      </c>
      <c r="O850">
        <f>YEAR(Table1[[#This Row],[Order Date]])</f>
        <v>2025</v>
      </c>
      <c r="P850" t="str">
        <f>"Q"&amp;ROUNDUP(MONTH(Table1[[#This Row],[Order Date]])/3,0)</f>
        <v>Q3</v>
      </c>
      <c r="Q850" s="3">
        <f>Table1[[#This Row],[Profit]]/Table1[[#This Row],[Sales]]</f>
        <v>0.24040801529926026</v>
      </c>
      <c r="R850" t="str">
        <f>IF(Table1[[#This Row],[Sales]]&lt;1000,"LOW",IF(Table1[[#This Row],[Sales]]&lt;5000,"MEDIUM","HIGH"))</f>
        <v>HIGH</v>
      </c>
      <c r="S850" s="2">
        <f>Table1[[#This Row],[Discount]]/100</f>
        <v>0.2</v>
      </c>
    </row>
    <row r="851" spans="1:19" x14ac:dyDescent="0.3">
      <c r="A851">
        <v>10850</v>
      </c>
      <c r="B851" s="1" t="s">
        <v>229</v>
      </c>
      <c r="C851" t="s">
        <v>552</v>
      </c>
      <c r="D851" t="s">
        <v>52</v>
      </c>
      <c r="E851" t="s">
        <v>53</v>
      </c>
      <c r="F851" t="s">
        <v>31</v>
      </c>
      <c r="G851" t="s">
        <v>124</v>
      </c>
      <c r="H851" t="s">
        <v>125</v>
      </c>
      <c r="I851">
        <v>4</v>
      </c>
      <c r="J851">
        <v>16704.2</v>
      </c>
      <c r="K851">
        <v>3612.04</v>
      </c>
      <c r="L851">
        <v>15</v>
      </c>
      <c r="M851" t="s">
        <v>45</v>
      </c>
      <c r="N851" t="str">
        <f>TEXT(Table1[[#This Row],[Order Date]],"MMMM")</f>
        <v>July</v>
      </c>
      <c r="O851">
        <f>YEAR(Table1[[#This Row],[Order Date]])</f>
        <v>2025</v>
      </c>
      <c r="P851" t="str">
        <f>"Q"&amp;ROUNDUP(MONTH(Table1[[#This Row],[Order Date]])/3,0)</f>
        <v>Q3</v>
      </c>
      <c r="Q851" s="3">
        <f>Table1[[#This Row],[Profit]]/Table1[[#This Row],[Sales]]</f>
        <v>0.21623543779408771</v>
      </c>
      <c r="R851" t="str">
        <f>IF(Table1[[#This Row],[Sales]]&lt;1000,"LOW",IF(Table1[[#This Row],[Sales]]&lt;5000,"MEDIUM","HIGH"))</f>
        <v>HIGH</v>
      </c>
      <c r="S851" s="2">
        <f>Table1[[#This Row],[Discount]]/100</f>
        <v>0.15</v>
      </c>
    </row>
    <row r="852" spans="1:19" x14ac:dyDescent="0.3">
      <c r="A852">
        <v>10851</v>
      </c>
      <c r="B852" s="1" t="s">
        <v>108</v>
      </c>
      <c r="C852" t="s">
        <v>359</v>
      </c>
      <c r="D852" t="s">
        <v>60</v>
      </c>
      <c r="E852" t="s">
        <v>61</v>
      </c>
      <c r="F852" t="s">
        <v>17</v>
      </c>
      <c r="G852" t="s">
        <v>43</v>
      </c>
      <c r="H852" t="s">
        <v>44</v>
      </c>
      <c r="I852">
        <v>1</v>
      </c>
      <c r="J852">
        <v>641.6</v>
      </c>
      <c r="K852">
        <v>137.36000000000001</v>
      </c>
      <c r="L852">
        <v>20</v>
      </c>
      <c r="M852" t="s">
        <v>20</v>
      </c>
      <c r="N852" t="str">
        <f>TEXT(Table1[[#This Row],[Order Date]],"MMMM")</f>
        <v>May</v>
      </c>
      <c r="O852">
        <f>YEAR(Table1[[#This Row],[Order Date]])</f>
        <v>2025</v>
      </c>
      <c r="P852" t="str">
        <f>"Q"&amp;ROUNDUP(MONTH(Table1[[#This Row],[Order Date]])/3,0)</f>
        <v>Q2</v>
      </c>
      <c r="Q852" s="3">
        <f>Table1[[#This Row],[Profit]]/Table1[[#This Row],[Sales]]</f>
        <v>0.21408977556109726</v>
      </c>
      <c r="R852" t="str">
        <f>IF(Table1[[#This Row],[Sales]]&lt;1000,"LOW",IF(Table1[[#This Row],[Sales]]&lt;5000,"MEDIUM","HIGH"))</f>
        <v>LOW</v>
      </c>
      <c r="S852" s="2">
        <f>Table1[[#This Row],[Discount]]/100</f>
        <v>0.2</v>
      </c>
    </row>
    <row r="853" spans="1:19" x14ac:dyDescent="0.3">
      <c r="A853">
        <v>10852</v>
      </c>
      <c r="B853" s="1" t="s">
        <v>406</v>
      </c>
      <c r="C853" t="s">
        <v>283</v>
      </c>
      <c r="D853" t="s">
        <v>56</v>
      </c>
      <c r="E853" t="s">
        <v>57</v>
      </c>
      <c r="F853" t="s">
        <v>25</v>
      </c>
      <c r="G853" t="s">
        <v>26</v>
      </c>
      <c r="H853" t="s">
        <v>27</v>
      </c>
      <c r="I853">
        <v>7</v>
      </c>
      <c r="J853">
        <v>18838.400000000001</v>
      </c>
      <c r="K853">
        <v>3341.25</v>
      </c>
      <c r="L853">
        <v>20</v>
      </c>
      <c r="M853" t="s">
        <v>45</v>
      </c>
      <c r="N853" t="str">
        <f>TEXT(Table1[[#This Row],[Order Date]],"MMMM")</f>
        <v>April</v>
      </c>
      <c r="O853">
        <f>YEAR(Table1[[#This Row],[Order Date]])</f>
        <v>2025</v>
      </c>
      <c r="P853" t="str">
        <f>"Q"&amp;ROUNDUP(MONTH(Table1[[#This Row],[Order Date]])/3,0)</f>
        <v>Q2</v>
      </c>
      <c r="Q853" s="3">
        <f>Table1[[#This Row],[Profit]]/Table1[[#This Row],[Sales]]</f>
        <v>0.17736378885680312</v>
      </c>
      <c r="R853" t="str">
        <f>IF(Table1[[#This Row],[Sales]]&lt;1000,"LOW",IF(Table1[[#This Row],[Sales]]&lt;5000,"MEDIUM","HIGH"))</f>
        <v>HIGH</v>
      </c>
      <c r="S853" s="2">
        <f>Table1[[#This Row],[Discount]]/100</f>
        <v>0.2</v>
      </c>
    </row>
    <row r="854" spans="1:19" x14ac:dyDescent="0.3">
      <c r="A854">
        <v>10853</v>
      </c>
      <c r="B854" s="1" t="s">
        <v>338</v>
      </c>
      <c r="C854" t="s">
        <v>356</v>
      </c>
      <c r="D854" t="s">
        <v>15</v>
      </c>
      <c r="E854" t="s">
        <v>16</v>
      </c>
      <c r="F854" t="s">
        <v>17</v>
      </c>
      <c r="G854" t="s">
        <v>75</v>
      </c>
      <c r="H854" t="s">
        <v>76</v>
      </c>
      <c r="I854">
        <v>5</v>
      </c>
      <c r="J854">
        <v>15703.5</v>
      </c>
      <c r="K854">
        <v>3045.13</v>
      </c>
      <c r="L854">
        <v>5</v>
      </c>
      <c r="M854" t="s">
        <v>28</v>
      </c>
      <c r="N854" t="str">
        <f>TEXT(Table1[[#This Row],[Order Date]],"MMMM")</f>
        <v>September</v>
      </c>
      <c r="O854">
        <f>YEAR(Table1[[#This Row],[Order Date]])</f>
        <v>2025</v>
      </c>
      <c r="P854" t="str">
        <f>"Q"&amp;ROUNDUP(MONTH(Table1[[#This Row],[Order Date]])/3,0)</f>
        <v>Q3</v>
      </c>
      <c r="Q854" s="3">
        <f>Table1[[#This Row],[Profit]]/Table1[[#This Row],[Sales]]</f>
        <v>0.19391409558378706</v>
      </c>
      <c r="R854" t="str">
        <f>IF(Table1[[#This Row],[Sales]]&lt;1000,"LOW",IF(Table1[[#This Row],[Sales]]&lt;5000,"MEDIUM","HIGH"))</f>
        <v>HIGH</v>
      </c>
      <c r="S854" s="2">
        <f>Table1[[#This Row],[Discount]]/100</f>
        <v>0.05</v>
      </c>
    </row>
    <row r="855" spans="1:19" x14ac:dyDescent="0.3">
      <c r="A855">
        <v>10854</v>
      </c>
      <c r="B855" s="1" t="s">
        <v>196</v>
      </c>
      <c r="C855" t="s">
        <v>481</v>
      </c>
      <c r="D855" t="s">
        <v>52</v>
      </c>
      <c r="E855" t="s">
        <v>53</v>
      </c>
      <c r="F855" t="s">
        <v>25</v>
      </c>
      <c r="G855" t="s">
        <v>95</v>
      </c>
      <c r="H855" t="s">
        <v>96</v>
      </c>
      <c r="I855">
        <v>4</v>
      </c>
      <c r="J855">
        <v>2862.8</v>
      </c>
      <c r="K855">
        <v>484.9</v>
      </c>
      <c r="L855">
        <v>15</v>
      </c>
      <c r="M855" t="s">
        <v>20</v>
      </c>
      <c r="N855" t="str">
        <f>TEXT(Table1[[#This Row],[Order Date]],"MMMM")</f>
        <v>July</v>
      </c>
      <c r="O855">
        <f>YEAR(Table1[[#This Row],[Order Date]])</f>
        <v>2025</v>
      </c>
      <c r="P855" t="str">
        <f>"Q"&amp;ROUNDUP(MONTH(Table1[[#This Row],[Order Date]])/3,0)</f>
        <v>Q3</v>
      </c>
      <c r="Q855" s="3">
        <f>Table1[[#This Row],[Profit]]/Table1[[#This Row],[Sales]]</f>
        <v>0.1693796283358949</v>
      </c>
      <c r="R855" t="str">
        <f>IF(Table1[[#This Row],[Sales]]&lt;1000,"LOW",IF(Table1[[#This Row],[Sales]]&lt;5000,"MEDIUM","HIGH"))</f>
        <v>MEDIUM</v>
      </c>
      <c r="S855" s="2">
        <f>Table1[[#This Row],[Discount]]/100</f>
        <v>0.15</v>
      </c>
    </row>
    <row r="856" spans="1:19" x14ac:dyDescent="0.3">
      <c r="A856">
        <v>10855</v>
      </c>
      <c r="B856" s="1" t="s">
        <v>569</v>
      </c>
      <c r="C856" t="s">
        <v>146</v>
      </c>
      <c r="D856" t="s">
        <v>60</v>
      </c>
      <c r="E856" t="s">
        <v>61</v>
      </c>
      <c r="F856" t="s">
        <v>31</v>
      </c>
      <c r="G856" t="s">
        <v>89</v>
      </c>
      <c r="H856" t="s">
        <v>90</v>
      </c>
      <c r="I856">
        <v>5</v>
      </c>
      <c r="J856">
        <v>21300</v>
      </c>
      <c r="K856">
        <v>4840.7</v>
      </c>
      <c r="L856">
        <v>0</v>
      </c>
      <c r="M856" t="s">
        <v>40</v>
      </c>
      <c r="N856" t="str">
        <f>TEXT(Table1[[#This Row],[Order Date]],"MMMM")</f>
        <v>September</v>
      </c>
      <c r="O856">
        <f>YEAR(Table1[[#This Row],[Order Date]])</f>
        <v>2025</v>
      </c>
      <c r="P856" t="str">
        <f>"Q"&amp;ROUNDUP(MONTH(Table1[[#This Row],[Order Date]])/3,0)</f>
        <v>Q3</v>
      </c>
      <c r="Q856" s="3">
        <f>Table1[[#This Row],[Profit]]/Table1[[#This Row],[Sales]]</f>
        <v>0.22726291079812205</v>
      </c>
      <c r="R856" t="str">
        <f>IF(Table1[[#This Row],[Sales]]&lt;1000,"LOW",IF(Table1[[#This Row],[Sales]]&lt;5000,"MEDIUM","HIGH"))</f>
        <v>HIGH</v>
      </c>
      <c r="S856" s="2">
        <f>Table1[[#This Row],[Discount]]/100</f>
        <v>0</v>
      </c>
    </row>
    <row r="857" spans="1:19" x14ac:dyDescent="0.3">
      <c r="A857">
        <v>10856</v>
      </c>
      <c r="B857" s="1" t="s">
        <v>268</v>
      </c>
      <c r="C857" t="s">
        <v>100</v>
      </c>
      <c r="D857" t="s">
        <v>60</v>
      </c>
      <c r="E857" t="s">
        <v>61</v>
      </c>
      <c r="F857" t="s">
        <v>25</v>
      </c>
      <c r="G857" t="s">
        <v>95</v>
      </c>
      <c r="H857" t="s">
        <v>96</v>
      </c>
      <c r="I857">
        <v>5</v>
      </c>
      <c r="J857">
        <v>13540</v>
      </c>
      <c r="K857">
        <v>2805.56</v>
      </c>
      <c r="L857">
        <v>0</v>
      </c>
      <c r="M857" t="s">
        <v>28</v>
      </c>
      <c r="N857" t="str">
        <f>TEXT(Table1[[#This Row],[Order Date]],"MMMM")</f>
        <v>October</v>
      </c>
      <c r="O857">
        <f>YEAR(Table1[[#This Row],[Order Date]])</f>
        <v>2025</v>
      </c>
      <c r="P857" t="str">
        <f>"Q"&amp;ROUNDUP(MONTH(Table1[[#This Row],[Order Date]])/3,0)</f>
        <v>Q4</v>
      </c>
      <c r="Q857" s="3">
        <f>Table1[[#This Row],[Profit]]/Table1[[#This Row],[Sales]]</f>
        <v>0.20720531757754801</v>
      </c>
      <c r="R857" t="str">
        <f>IF(Table1[[#This Row],[Sales]]&lt;1000,"LOW",IF(Table1[[#This Row],[Sales]]&lt;5000,"MEDIUM","HIGH"))</f>
        <v>HIGH</v>
      </c>
      <c r="S857" s="2">
        <f>Table1[[#This Row],[Discount]]/100</f>
        <v>0</v>
      </c>
    </row>
    <row r="858" spans="1:19" x14ac:dyDescent="0.3">
      <c r="A858">
        <v>10857</v>
      </c>
      <c r="B858" s="1" t="s">
        <v>362</v>
      </c>
      <c r="C858" t="s">
        <v>225</v>
      </c>
      <c r="D858" t="s">
        <v>56</v>
      </c>
      <c r="E858" t="s">
        <v>57</v>
      </c>
      <c r="F858" t="s">
        <v>17</v>
      </c>
      <c r="G858" t="s">
        <v>75</v>
      </c>
      <c r="H858" t="s">
        <v>76</v>
      </c>
      <c r="I858">
        <v>7</v>
      </c>
      <c r="J858">
        <v>26510.400000000001</v>
      </c>
      <c r="K858">
        <v>5967.93</v>
      </c>
      <c r="L858">
        <v>20</v>
      </c>
      <c r="M858" t="s">
        <v>49</v>
      </c>
      <c r="N858" t="str">
        <f>TEXT(Table1[[#This Row],[Order Date]],"MMMM")</f>
        <v>October</v>
      </c>
      <c r="O858">
        <f>YEAR(Table1[[#This Row],[Order Date]])</f>
        <v>2025</v>
      </c>
      <c r="P858" t="str">
        <f>"Q"&amp;ROUNDUP(MONTH(Table1[[#This Row],[Order Date]])/3,0)</f>
        <v>Q4</v>
      </c>
      <c r="Q858" s="3">
        <f>Table1[[#This Row],[Profit]]/Table1[[#This Row],[Sales]]</f>
        <v>0.22511655803005612</v>
      </c>
      <c r="R858" t="str">
        <f>IF(Table1[[#This Row],[Sales]]&lt;1000,"LOW",IF(Table1[[#This Row],[Sales]]&lt;5000,"MEDIUM","HIGH"))</f>
        <v>HIGH</v>
      </c>
      <c r="S858" s="2">
        <f>Table1[[#This Row],[Discount]]/100</f>
        <v>0.2</v>
      </c>
    </row>
    <row r="859" spans="1:19" x14ac:dyDescent="0.3">
      <c r="A859">
        <v>10858</v>
      </c>
      <c r="B859" s="1" t="s">
        <v>306</v>
      </c>
      <c r="C859" t="s">
        <v>302</v>
      </c>
      <c r="D859" t="s">
        <v>74</v>
      </c>
      <c r="E859" t="s">
        <v>74</v>
      </c>
      <c r="F859" t="s">
        <v>31</v>
      </c>
      <c r="G859" t="s">
        <v>38</v>
      </c>
      <c r="H859" t="s">
        <v>39</v>
      </c>
      <c r="I859">
        <v>4</v>
      </c>
      <c r="J859">
        <v>6521.6</v>
      </c>
      <c r="K859">
        <v>1019.67</v>
      </c>
      <c r="L859">
        <v>20</v>
      </c>
      <c r="M859" t="s">
        <v>40</v>
      </c>
      <c r="N859" t="str">
        <f>TEXT(Table1[[#This Row],[Order Date]],"MMMM")</f>
        <v>July</v>
      </c>
      <c r="O859">
        <f>YEAR(Table1[[#This Row],[Order Date]])</f>
        <v>2025</v>
      </c>
      <c r="P859" t="str">
        <f>"Q"&amp;ROUNDUP(MONTH(Table1[[#This Row],[Order Date]])/3,0)</f>
        <v>Q3</v>
      </c>
      <c r="Q859" s="3">
        <f>Table1[[#This Row],[Profit]]/Table1[[#This Row],[Sales]]</f>
        <v>0.15635273552502452</v>
      </c>
      <c r="R859" t="str">
        <f>IF(Table1[[#This Row],[Sales]]&lt;1000,"LOW",IF(Table1[[#This Row],[Sales]]&lt;5000,"MEDIUM","HIGH"))</f>
        <v>HIGH</v>
      </c>
      <c r="S859" s="2">
        <f>Table1[[#This Row],[Discount]]/100</f>
        <v>0.2</v>
      </c>
    </row>
    <row r="860" spans="1:19" x14ac:dyDescent="0.3">
      <c r="A860">
        <v>10859</v>
      </c>
      <c r="B860" s="1" t="s">
        <v>167</v>
      </c>
      <c r="C860" t="s">
        <v>498</v>
      </c>
      <c r="D860" t="s">
        <v>36</v>
      </c>
      <c r="E860" t="s">
        <v>37</v>
      </c>
      <c r="F860" t="s">
        <v>25</v>
      </c>
      <c r="G860" t="s">
        <v>26</v>
      </c>
      <c r="H860" t="s">
        <v>48</v>
      </c>
      <c r="I860">
        <v>3</v>
      </c>
      <c r="J860">
        <v>4384.8</v>
      </c>
      <c r="K860">
        <v>1267.94</v>
      </c>
      <c r="L860">
        <v>20</v>
      </c>
      <c r="M860" t="s">
        <v>49</v>
      </c>
      <c r="N860" t="str">
        <f>TEXT(Table1[[#This Row],[Order Date]],"MMMM")</f>
        <v>September</v>
      </c>
      <c r="O860">
        <f>YEAR(Table1[[#This Row],[Order Date]])</f>
        <v>2025</v>
      </c>
      <c r="P860" t="str">
        <f>"Q"&amp;ROUNDUP(MONTH(Table1[[#This Row],[Order Date]])/3,0)</f>
        <v>Q3</v>
      </c>
      <c r="Q860" s="3">
        <f>Table1[[#This Row],[Profit]]/Table1[[#This Row],[Sales]]</f>
        <v>0.28916712278781243</v>
      </c>
      <c r="R860" t="str">
        <f>IF(Table1[[#This Row],[Sales]]&lt;1000,"LOW",IF(Table1[[#This Row],[Sales]]&lt;5000,"MEDIUM","HIGH"))</f>
        <v>MEDIUM</v>
      </c>
      <c r="S860" s="2">
        <f>Table1[[#This Row],[Discount]]/100</f>
        <v>0.2</v>
      </c>
    </row>
    <row r="861" spans="1:19" x14ac:dyDescent="0.3">
      <c r="A861">
        <v>10860</v>
      </c>
      <c r="B861" s="1" t="s">
        <v>335</v>
      </c>
      <c r="C861" t="s">
        <v>364</v>
      </c>
      <c r="D861" t="s">
        <v>60</v>
      </c>
      <c r="E861" t="s">
        <v>61</v>
      </c>
      <c r="F861" t="s">
        <v>25</v>
      </c>
      <c r="G861" t="s">
        <v>95</v>
      </c>
      <c r="H861" t="s">
        <v>96</v>
      </c>
      <c r="I861">
        <v>3</v>
      </c>
      <c r="J861">
        <v>7502.4</v>
      </c>
      <c r="K861">
        <v>907.64</v>
      </c>
      <c r="L861">
        <v>20</v>
      </c>
      <c r="M861" t="s">
        <v>45</v>
      </c>
      <c r="N861" t="str">
        <f>TEXT(Table1[[#This Row],[Order Date]],"MMMM")</f>
        <v>June</v>
      </c>
      <c r="O861">
        <f>YEAR(Table1[[#This Row],[Order Date]])</f>
        <v>2025</v>
      </c>
      <c r="P861" t="str">
        <f>"Q"&amp;ROUNDUP(MONTH(Table1[[#This Row],[Order Date]])/3,0)</f>
        <v>Q2</v>
      </c>
      <c r="Q861" s="3">
        <f>Table1[[#This Row],[Profit]]/Table1[[#This Row],[Sales]]</f>
        <v>0.12097995308168054</v>
      </c>
      <c r="R861" t="str">
        <f>IF(Table1[[#This Row],[Sales]]&lt;1000,"LOW",IF(Table1[[#This Row],[Sales]]&lt;5000,"MEDIUM","HIGH"))</f>
        <v>HIGH</v>
      </c>
      <c r="S861" s="2">
        <f>Table1[[#This Row],[Discount]]/100</f>
        <v>0.2</v>
      </c>
    </row>
    <row r="862" spans="1:19" x14ac:dyDescent="0.3">
      <c r="A862">
        <v>10861</v>
      </c>
      <c r="B862" s="1" t="s">
        <v>512</v>
      </c>
      <c r="C862" t="s">
        <v>68</v>
      </c>
      <c r="D862" t="s">
        <v>23</v>
      </c>
      <c r="E862" t="s">
        <v>24</v>
      </c>
      <c r="F862" t="s">
        <v>31</v>
      </c>
      <c r="G862" t="s">
        <v>32</v>
      </c>
      <c r="H862" t="s">
        <v>33</v>
      </c>
      <c r="I862">
        <v>6</v>
      </c>
      <c r="J862">
        <v>21139.5</v>
      </c>
      <c r="K862">
        <v>1948.64</v>
      </c>
      <c r="L862">
        <v>15</v>
      </c>
      <c r="M862" t="s">
        <v>45</v>
      </c>
      <c r="N862" t="str">
        <f>TEXT(Table1[[#This Row],[Order Date]],"MMMM")</f>
        <v>April</v>
      </c>
      <c r="O862">
        <f>YEAR(Table1[[#This Row],[Order Date]])</f>
        <v>2025</v>
      </c>
      <c r="P862" t="str">
        <f>"Q"&amp;ROUNDUP(MONTH(Table1[[#This Row],[Order Date]])/3,0)</f>
        <v>Q2</v>
      </c>
      <c r="Q862" s="3">
        <f>Table1[[#This Row],[Profit]]/Table1[[#This Row],[Sales]]</f>
        <v>9.21800421012796E-2</v>
      </c>
      <c r="R862" t="str">
        <f>IF(Table1[[#This Row],[Sales]]&lt;1000,"LOW",IF(Table1[[#This Row],[Sales]]&lt;5000,"MEDIUM","HIGH"))</f>
        <v>HIGH</v>
      </c>
      <c r="S862" s="2">
        <f>Table1[[#This Row],[Discount]]/100</f>
        <v>0.15</v>
      </c>
    </row>
    <row r="863" spans="1:19" x14ac:dyDescent="0.3">
      <c r="A863">
        <v>10862</v>
      </c>
      <c r="B863" s="1" t="s">
        <v>132</v>
      </c>
      <c r="C863" t="s">
        <v>489</v>
      </c>
      <c r="D863" t="s">
        <v>23</v>
      </c>
      <c r="E863" t="s">
        <v>24</v>
      </c>
      <c r="F863" t="s">
        <v>31</v>
      </c>
      <c r="G863" t="s">
        <v>38</v>
      </c>
      <c r="H863" t="s">
        <v>39</v>
      </c>
      <c r="I863">
        <v>8</v>
      </c>
      <c r="J863">
        <v>13952</v>
      </c>
      <c r="K863">
        <v>2217.0700000000002</v>
      </c>
      <c r="L863">
        <v>0</v>
      </c>
      <c r="M863" t="s">
        <v>40</v>
      </c>
      <c r="N863" t="str">
        <f>TEXT(Table1[[#This Row],[Order Date]],"MMMM")</f>
        <v>October</v>
      </c>
      <c r="O863">
        <f>YEAR(Table1[[#This Row],[Order Date]])</f>
        <v>2025</v>
      </c>
      <c r="P863" t="str">
        <f>"Q"&amp;ROUNDUP(MONTH(Table1[[#This Row],[Order Date]])/3,0)</f>
        <v>Q4</v>
      </c>
      <c r="Q863" s="3">
        <f>Table1[[#This Row],[Profit]]/Table1[[#This Row],[Sales]]</f>
        <v>0.15890696674311927</v>
      </c>
      <c r="R863" t="str">
        <f>IF(Table1[[#This Row],[Sales]]&lt;1000,"LOW",IF(Table1[[#This Row],[Sales]]&lt;5000,"MEDIUM","HIGH"))</f>
        <v>HIGH</v>
      </c>
      <c r="S863" s="2">
        <f>Table1[[#This Row],[Discount]]/100</f>
        <v>0</v>
      </c>
    </row>
    <row r="864" spans="1:19" x14ac:dyDescent="0.3">
      <c r="A864">
        <v>10863</v>
      </c>
      <c r="B864" s="1" t="s">
        <v>147</v>
      </c>
      <c r="C864" t="s">
        <v>187</v>
      </c>
      <c r="D864" t="s">
        <v>23</v>
      </c>
      <c r="E864" t="s">
        <v>24</v>
      </c>
      <c r="F864" t="s">
        <v>17</v>
      </c>
      <c r="G864" t="s">
        <v>75</v>
      </c>
      <c r="H864" t="s">
        <v>116</v>
      </c>
      <c r="I864">
        <v>5</v>
      </c>
      <c r="J864">
        <v>12125.25</v>
      </c>
      <c r="K864">
        <v>1874.02</v>
      </c>
      <c r="L864">
        <v>15</v>
      </c>
      <c r="M864" t="s">
        <v>49</v>
      </c>
      <c r="N864" t="str">
        <f>TEXT(Table1[[#This Row],[Order Date]],"MMMM")</f>
        <v>March</v>
      </c>
      <c r="O864">
        <f>YEAR(Table1[[#This Row],[Order Date]])</f>
        <v>2025</v>
      </c>
      <c r="P864" t="str">
        <f>"Q"&amp;ROUNDUP(MONTH(Table1[[#This Row],[Order Date]])/3,0)</f>
        <v>Q1</v>
      </c>
      <c r="Q864" s="3">
        <f>Table1[[#This Row],[Profit]]/Table1[[#This Row],[Sales]]</f>
        <v>0.15455516381105544</v>
      </c>
      <c r="R864" t="str">
        <f>IF(Table1[[#This Row],[Sales]]&lt;1000,"LOW",IF(Table1[[#This Row],[Sales]]&lt;5000,"MEDIUM","HIGH"))</f>
        <v>HIGH</v>
      </c>
      <c r="S864" s="2">
        <f>Table1[[#This Row],[Discount]]/100</f>
        <v>0.15</v>
      </c>
    </row>
    <row r="865" spans="1:19" x14ac:dyDescent="0.3">
      <c r="A865">
        <v>10864</v>
      </c>
      <c r="B865" s="1" t="s">
        <v>163</v>
      </c>
      <c r="C865" t="s">
        <v>127</v>
      </c>
      <c r="D865" t="s">
        <v>60</v>
      </c>
      <c r="E865" t="s">
        <v>61</v>
      </c>
      <c r="F865" t="s">
        <v>25</v>
      </c>
      <c r="G865" t="s">
        <v>26</v>
      </c>
      <c r="H865" t="s">
        <v>71</v>
      </c>
      <c r="I865">
        <v>1</v>
      </c>
      <c r="J865">
        <v>2296.6999999999998</v>
      </c>
      <c r="K865">
        <v>514.55999999999995</v>
      </c>
      <c r="L865">
        <v>15</v>
      </c>
      <c r="M865" t="s">
        <v>20</v>
      </c>
      <c r="N865" t="str">
        <f>TEXT(Table1[[#This Row],[Order Date]],"MMMM")</f>
        <v>April</v>
      </c>
      <c r="O865">
        <f>YEAR(Table1[[#This Row],[Order Date]])</f>
        <v>2025</v>
      </c>
      <c r="P865" t="str">
        <f>"Q"&amp;ROUNDUP(MONTH(Table1[[#This Row],[Order Date]])/3,0)</f>
        <v>Q2</v>
      </c>
      <c r="Q865" s="3">
        <f>Table1[[#This Row],[Profit]]/Table1[[#This Row],[Sales]]</f>
        <v>0.22404319240649628</v>
      </c>
      <c r="R865" t="str">
        <f>IF(Table1[[#This Row],[Sales]]&lt;1000,"LOW",IF(Table1[[#This Row],[Sales]]&lt;5000,"MEDIUM","HIGH"))</f>
        <v>MEDIUM</v>
      </c>
      <c r="S865" s="2">
        <f>Table1[[#This Row],[Discount]]/100</f>
        <v>0.15</v>
      </c>
    </row>
    <row r="866" spans="1:19" x14ac:dyDescent="0.3">
      <c r="A866">
        <v>10865</v>
      </c>
      <c r="B866" s="1" t="s">
        <v>388</v>
      </c>
      <c r="C866" t="s">
        <v>63</v>
      </c>
      <c r="D866" t="s">
        <v>36</v>
      </c>
      <c r="E866" t="s">
        <v>37</v>
      </c>
      <c r="F866" t="s">
        <v>25</v>
      </c>
      <c r="G866" t="s">
        <v>26</v>
      </c>
      <c r="H866" t="s">
        <v>71</v>
      </c>
      <c r="I866">
        <v>8</v>
      </c>
      <c r="J866">
        <v>29510.400000000001</v>
      </c>
      <c r="K866">
        <v>2515.69</v>
      </c>
      <c r="L866">
        <v>20</v>
      </c>
      <c r="M866" t="s">
        <v>28</v>
      </c>
      <c r="N866" t="str">
        <f>TEXT(Table1[[#This Row],[Order Date]],"MMMM")</f>
        <v>August</v>
      </c>
      <c r="O866">
        <f>YEAR(Table1[[#This Row],[Order Date]])</f>
        <v>2025</v>
      </c>
      <c r="P866" t="str">
        <f>"Q"&amp;ROUNDUP(MONTH(Table1[[#This Row],[Order Date]])/3,0)</f>
        <v>Q3</v>
      </c>
      <c r="Q866" s="3">
        <f>Table1[[#This Row],[Profit]]/Table1[[#This Row],[Sales]]</f>
        <v>8.5247573736716542E-2</v>
      </c>
      <c r="R866" t="str">
        <f>IF(Table1[[#This Row],[Sales]]&lt;1000,"LOW",IF(Table1[[#This Row],[Sales]]&lt;5000,"MEDIUM","HIGH"))</f>
        <v>HIGH</v>
      </c>
      <c r="S866" s="2">
        <f>Table1[[#This Row],[Discount]]/100</f>
        <v>0.2</v>
      </c>
    </row>
    <row r="867" spans="1:19" x14ac:dyDescent="0.3">
      <c r="A867">
        <v>10866</v>
      </c>
      <c r="B867" s="1" t="s">
        <v>265</v>
      </c>
      <c r="C867" t="s">
        <v>560</v>
      </c>
      <c r="D867" t="s">
        <v>60</v>
      </c>
      <c r="E867" t="s">
        <v>61</v>
      </c>
      <c r="F867" t="s">
        <v>31</v>
      </c>
      <c r="G867" t="s">
        <v>124</v>
      </c>
      <c r="H867" t="s">
        <v>125</v>
      </c>
      <c r="I867">
        <v>6</v>
      </c>
      <c r="J867">
        <v>4854.6000000000004</v>
      </c>
      <c r="K867">
        <v>415.33</v>
      </c>
      <c r="L867">
        <v>10</v>
      </c>
      <c r="M867" t="s">
        <v>28</v>
      </c>
      <c r="N867" t="str">
        <f>TEXT(Table1[[#This Row],[Order Date]],"MMMM")</f>
        <v>September</v>
      </c>
      <c r="O867">
        <f>YEAR(Table1[[#This Row],[Order Date]])</f>
        <v>2025</v>
      </c>
      <c r="P867" t="str">
        <f>"Q"&amp;ROUNDUP(MONTH(Table1[[#This Row],[Order Date]])/3,0)</f>
        <v>Q3</v>
      </c>
      <c r="Q867" s="3">
        <f>Table1[[#This Row],[Profit]]/Table1[[#This Row],[Sales]]</f>
        <v>8.5553907633996618E-2</v>
      </c>
      <c r="R867" t="str">
        <f>IF(Table1[[#This Row],[Sales]]&lt;1000,"LOW",IF(Table1[[#This Row],[Sales]]&lt;5000,"MEDIUM","HIGH"))</f>
        <v>MEDIUM</v>
      </c>
      <c r="S867" s="2">
        <f>Table1[[#This Row],[Discount]]/100</f>
        <v>0.1</v>
      </c>
    </row>
    <row r="868" spans="1:19" x14ac:dyDescent="0.3">
      <c r="A868">
        <v>10867</v>
      </c>
      <c r="B868" s="1" t="s">
        <v>382</v>
      </c>
      <c r="C868" t="s">
        <v>528</v>
      </c>
      <c r="D868" t="s">
        <v>23</v>
      </c>
      <c r="E868" t="s">
        <v>24</v>
      </c>
      <c r="F868" t="s">
        <v>31</v>
      </c>
      <c r="G868" t="s">
        <v>89</v>
      </c>
      <c r="H868" t="s">
        <v>90</v>
      </c>
      <c r="I868">
        <v>4</v>
      </c>
      <c r="J868">
        <v>7368.2</v>
      </c>
      <c r="K868">
        <v>1669.79</v>
      </c>
      <c r="L868">
        <v>5</v>
      </c>
      <c r="M868" t="s">
        <v>40</v>
      </c>
      <c r="N868" t="str">
        <f>TEXT(Table1[[#This Row],[Order Date]],"MMMM")</f>
        <v>June</v>
      </c>
      <c r="O868">
        <f>YEAR(Table1[[#This Row],[Order Date]])</f>
        <v>2025</v>
      </c>
      <c r="P868" t="str">
        <f>"Q"&amp;ROUNDUP(MONTH(Table1[[#This Row],[Order Date]])/3,0)</f>
        <v>Q2</v>
      </c>
      <c r="Q868" s="3">
        <f>Table1[[#This Row],[Profit]]/Table1[[#This Row],[Sales]]</f>
        <v>0.22662115577753048</v>
      </c>
      <c r="R868" t="str">
        <f>IF(Table1[[#This Row],[Sales]]&lt;1000,"LOW",IF(Table1[[#This Row],[Sales]]&lt;5000,"MEDIUM","HIGH"))</f>
        <v>HIGH</v>
      </c>
      <c r="S868" s="2">
        <f>Table1[[#This Row],[Discount]]/100</f>
        <v>0.05</v>
      </c>
    </row>
    <row r="869" spans="1:19" x14ac:dyDescent="0.3">
      <c r="A869">
        <v>10868</v>
      </c>
      <c r="B869" s="1" t="s">
        <v>157</v>
      </c>
      <c r="C869" t="s">
        <v>78</v>
      </c>
      <c r="D869" t="s">
        <v>52</v>
      </c>
      <c r="E869" t="s">
        <v>53</v>
      </c>
      <c r="F869" t="s">
        <v>17</v>
      </c>
      <c r="G869" t="s">
        <v>75</v>
      </c>
      <c r="H869" t="s">
        <v>116</v>
      </c>
      <c r="I869">
        <v>1</v>
      </c>
      <c r="J869">
        <v>1876</v>
      </c>
      <c r="K869">
        <v>267.95999999999998</v>
      </c>
      <c r="L869">
        <v>0</v>
      </c>
      <c r="M869" t="s">
        <v>28</v>
      </c>
      <c r="N869" t="str">
        <f>TEXT(Table1[[#This Row],[Order Date]],"MMMM")</f>
        <v>June</v>
      </c>
      <c r="O869">
        <f>YEAR(Table1[[#This Row],[Order Date]])</f>
        <v>2025</v>
      </c>
      <c r="P869" t="str">
        <f>"Q"&amp;ROUNDUP(MONTH(Table1[[#This Row],[Order Date]])/3,0)</f>
        <v>Q2</v>
      </c>
      <c r="Q869" s="3">
        <f>Table1[[#This Row],[Profit]]/Table1[[#This Row],[Sales]]</f>
        <v>0.14283582089552238</v>
      </c>
      <c r="R869" t="str">
        <f>IF(Table1[[#This Row],[Sales]]&lt;1000,"LOW",IF(Table1[[#This Row],[Sales]]&lt;5000,"MEDIUM","HIGH"))</f>
        <v>MEDIUM</v>
      </c>
      <c r="S869" s="2">
        <f>Table1[[#This Row],[Discount]]/100</f>
        <v>0</v>
      </c>
    </row>
    <row r="870" spans="1:19" x14ac:dyDescent="0.3">
      <c r="A870">
        <v>10869</v>
      </c>
      <c r="B870" s="1" t="s">
        <v>102</v>
      </c>
      <c r="C870" t="s">
        <v>279</v>
      </c>
      <c r="D870" t="s">
        <v>74</v>
      </c>
      <c r="E870" t="s">
        <v>74</v>
      </c>
      <c r="F870" t="s">
        <v>17</v>
      </c>
      <c r="G870" t="s">
        <v>75</v>
      </c>
      <c r="H870" t="s">
        <v>76</v>
      </c>
      <c r="I870">
        <v>5</v>
      </c>
      <c r="J870">
        <v>3920</v>
      </c>
      <c r="K870">
        <v>724.53</v>
      </c>
      <c r="L870">
        <v>20</v>
      </c>
      <c r="M870" t="s">
        <v>45</v>
      </c>
      <c r="N870" t="str">
        <f>TEXT(Table1[[#This Row],[Order Date]],"MMMM")</f>
        <v>December</v>
      </c>
      <c r="O870">
        <f>YEAR(Table1[[#This Row],[Order Date]])</f>
        <v>2025</v>
      </c>
      <c r="P870" t="str">
        <f>"Q"&amp;ROUNDUP(MONTH(Table1[[#This Row],[Order Date]])/3,0)</f>
        <v>Q4</v>
      </c>
      <c r="Q870" s="3">
        <f>Table1[[#This Row],[Profit]]/Table1[[#This Row],[Sales]]</f>
        <v>0.18482908163265305</v>
      </c>
      <c r="R870" t="str">
        <f>IF(Table1[[#This Row],[Sales]]&lt;1000,"LOW",IF(Table1[[#This Row],[Sales]]&lt;5000,"MEDIUM","HIGH"))</f>
        <v>MEDIUM</v>
      </c>
      <c r="S870" s="2">
        <f>Table1[[#This Row],[Discount]]/100</f>
        <v>0.2</v>
      </c>
    </row>
    <row r="871" spans="1:19" x14ac:dyDescent="0.3">
      <c r="A871">
        <v>10870</v>
      </c>
      <c r="B871" s="1" t="s">
        <v>83</v>
      </c>
      <c r="C871" t="s">
        <v>172</v>
      </c>
      <c r="D871" t="s">
        <v>36</v>
      </c>
      <c r="E871" t="s">
        <v>37</v>
      </c>
      <c r="F871" t="s">
        <v>25</v>
      </c>
      <c r="G871" t="s">
        <v>26</v>
      </c>
      <c r="H871" t="s">
        <v>48</v>
      </c>
      <c r="I871">
        <v>4</v>
      </c>
      <c r="J871">
        <v>2291.4</v>
      </c>
      <c r="K871">
        <v>342.8</v>
      </c>
      <c r="L871">
        <v>5</v>
      </c>
      <c r="M871" t="s">
        <v>45</v>
      </c>
      <c r="N871" t="str">
        <f>TEXT(Table1[[#This Row],[Order Date]],"MMMM")</f>
        <v>January</v>
      </c>
      <c r="O871">
        <f>YEAR(Table1[[#This Row],[Order Date]])</f>
        <v>2025</v>
      </c>
      <c r="P871" t="str">
        <f>"Q"&amp;ROUNDUP(MONTH(Table1[[#This Row],[Order Date]])/3,0)</f>
        <v>Q1</v>
      </c>
      <c r="Q871" s="3">
        <f>Table1[[#This Row],[Profit]]/Table1[[#This Row],[Sales]]</f>
        <v>0.14960286287858951</v>
      </c>
      <c r="R871" t="str">
        <f>IF(Table1[[#This Row],[Sales]]&lt;1000,"LOW",IF(Table1[[#This Row],[Sales]]&lt;5000,"MEDIUM","HIGH"))</f>
        <v>MEDIUM</v>
      </c>
      <c r="S871" s="2">
        <f>Table1[[#This Row],[Discount]]/100</f>
        <v>0.05</v>
      </c>
    </row>
    <row r="872" spans="1:19" x14ac:dyDescent="0.3">
      <c r="A872">
        <v>10871</v>
      </c>
      <c r="B872" s="1" t="s">
        <v>199</v>
      </c>
      <c r="C872" t="s">
        <v>98</v>
      </c>
      <c r="D872" t="s">
        <v>23</v>
      </c>
      <c r="E872" t="s">
        <v>24</v>
      </c>
      <c r="F872" t="s">
        <v>17</v>
      </c>
      <c r="G872" t="s">
        <v>75</v>
      </c>
      <c r="H872" t="s">
        <v>116</v>
      </c>
      <c r="I872">
        <v>8</v>
      </c>
      <c r="J872">
        <v>31136</v>
      </c>
      <c r="K872">
        <v>9243.44</v>
      </c>
      <c r="L872">
        <v>0</v>
      </c>
      <c r="M872" t="s">
        <v>20</v>
      </c>
      <c r="N872" t="str">
        <f>TEXT(Table1[[#This Row],[Order Date]],"MMMM")</f>
        <v>September</v>
      </c>
      <c r="O872">
        <f>YEAR(Table1[[#This Row],[Order Date]])</f>
        <v>2025</v>
      </c>
      <c r="P872" t="str">
        <f>"Q"&amp;ROUNDUP(MONTH(Table1[[#This Row],[Order Date]])/3,0)</f>
        <v>Q3</v>
      </c>
      <c r="Q872" s="3">
        <f>Table1[[#This Row],[Profit]]/Table1[[#This Row],[Sales]]</f>
        <v>0.29687307297019527</v>
      </c>
      <c r="R872" t="str">
        <f>IF(Table1[[#This Row],[Sales]]&lt;1000,"LOW",IF(Table1[[#This Row],[Sales]]&lt;5000,"MEDIUM","HIGH"))</f>
        <v>HIGH</v>
      </c>
      <c r="S872" s="2">
        <f>Table1[[#This Row],[Discount]]/100</f>
        <v>0</v>
      </c>
    </row>
    <row r="873" spans="1:19" x14ac:dyDescent="0.3">
      <c r="A873">
        <v>10872</v>
      </c>
      <c r="B873" s="1" t="s">
        <v>176</v>
      </c>
      <c r="C873" t="s">
        <v>184</v>
      </c>
      <c r="D873" t="s">
        <v>74</v>
      </c>
      <c r="E873" t="s">
        <v>74</v>
      </c>
      <c r="F873" t="s">
        <v>31</v>
      </c>
      <c r="G873" t="s">
        <v>32</v>
      </c>
      <c r="H873" t="s">
        <v>33</v>
      </c>
      <c r="I873">
        <v>2</v>
      </c>
      <c r="J873">
        <v>3651.8</v>
      </c>
      <c r="K873">
        <v>634.49</v>
      </c>
      <c r="L873">
        <v>5</v>
      </c>
      <c r="M873" t="s">
        <v>49</v>
      </c>
      <c r="N873" t="str">
        <f>TEXT(Table1[[#This Row],[Order Date]],"MMMM")</f>
        <v>December</v>
      </c>
      <c r="O873">
        <f>YEAR(Table1[[#This Row],[Order Date]])</f>
        <v>2025</v>
      </c>
      <c r="P873" t="str">
        <f>"Q"&amp;ROUNDUP(MONTH(Table1[[#This Row],[Order Date]])/3,0)</f>
        <v>Q4</v>
      </c>
      <c r="Q873" s="3">
        <f>Table1[[#This Row],[Profit]]/Table1[[#This Row],[Sales]]</f>
        <v>0.1737471931650145</v>
      </c>
      <c r="R873" t="str">
        <f>IF(Table1[[#This Row],[Sales]]&lt;1000,"LOW",IF(Table1[[#This Row],[Sales]]&lt;5000,"MEDIUM","HIGH"))</f>
        <v>MEDIUM</v>
      </c>
      <c r="S873" s="2">
        <f>Table1[[#This Row],[Discount]]/100</f>
        <v>0.05</v>
      </c>
    </row>
    <row r="874" spans="1:19" x14ac:dyDescent="0.3">
      <c r="A874">
        <v>10873</v>
      </c>
      <c r="B874" s="1" t="s">
        <v>570</v>
      </c>
      <c r="C874" t="s">
        <v>295</v>
      </c>
      <c r="D874" t="s">
        <v>23</v>
      </c>
      <c r="E874" t="s">
        <v>24</v>
      </c>
      <c r="F874" t="s">
        <v>31</v>
      </c>
      <c r="G874" t="s">
        <v>38</v>
      </c>
      <c r="H874" t="s">
        <v>39</v>
      </c>
      <c r="I874">
        <v>2</v>
      </c>
      <c r="J874">
        <v>3927.3</v>
      </c>
      <c r="K874">
        <v>947.27</v>
      </c>
      <c r="L874">
        <v>5</v>
      </c>
      <c r="M874" t="s">
        <v>28</v>
      </c>
      <c r="N874" t="str">
        <f>TEXT(Table1[[#This Row],[Order Date]],"MMMM")</f>
        <v>May</v>
      </c>
      <c r="O874">
        <f>YEAR(Table1[[#This Row],[Order Date]])</f>
        <v>2025</v>
      </c>
      <c r="P874" t="str">
        <f>"Q"&amp;ROUNDUP(MONTH(Table1[[#This Row],[Order Date]])/3,0)</f>
        <v>Q2</v>
      </c>
      <c r="Q874" s="3">
        <f>Table1[[#This Row],[Profit]]/Table1[[#This Row],[Sales]]</f>
        <v>0.24120133424999363</v>
      </c>
      <c r="R874" t="str">
        <f>IF(Table1[[#This Row],[Sales]]&lt;1000,"LOW",IF(Table1[[#This Row],[Sales]]&lt;5000,"MEDIUM","HIGH"))</f>
        <v>MEDIUM</v>
      </c>
      <c r="S874" s="2">
        <f>Table1[[#This Row],[Discount]]/100</f>
        <v>0.05</v>
      </c>
    </row>
    <row r="875" spans="1:19" x14ac:dyDescent="0.3">
      <c r="A875">
        <v>10874</v>
      </c>
      <c r="B875" s="1" t="s">
        <v>128</v>
      </c>
      <c r="C875" t="s">
        <v>86</v>
      </c>
      <c r="D875" t="s">
        <v>52</v>
      </c>
      <c r="E875" t="s">
        <v>53</v>
      </c>
      <c r="F875" t="s">
        <v>25</v>
      </c>
      <c r="G875" t="s">
        <v>95</v>
      </c>
      <c r="H875" t="s">
        <v>96</v>
      </c>
      <c r="I875">
        <v>7</v>
      </c>
      <c r="J875">
        <v>31157</v>
      </c>
      <c r="K875">
        <v>6640.96</v>
      </c>
      <c r="L875">
        <v>0</v>
      </c>
      <c r="M875" t="s">
        <v>45</v>
      </c>
      <c r="N875" t="str">
        <f>TEXT(Table1[[#This Row],[Order Date]],"MMMM")</f>
        <v>November</v>
      </c>
      <c r="O875">
        <f>YEAR(Table1[[#This Row],[Order Date]])</f>
        <v>2025</v>
      </c>
      <c r="P875" t="str">
        <f>"Q"&amp;ROUNDUP(MONTH(Table1[[#This Row],[Order Date]])/3,0)</f>
        <v>Q4</v>
      </c>
      <c r="Q875" s="3">
        <f>Table1[[#This Row],[Profit]]/Table1[[#This Row],[Sales]]</f>
        <v>0.21314503963796258</v>
      </c>
      <c r="R875" t="str">
        <f>IF(Table1[[#This Row],[Sales]]&lt;1000,"LOW",IF(Table1[[#This Row],[Sales]]&lt;5000,"MEDIUM","HIGH"))</f>
        <v>HIGH</v>
      </c>
      <c r="S875" s="2">
        <f>Table1[[#This Row],[Discount]]/100</f>
        <v>0</v>
      </c>
    </row>
    <row r="876" spans="1:19" x14ac:dyDescent="0.3">
      <c r="A876">
        <v>10875</v>
      </c>
      <c r="B876" s="1" t="s">
        <v>535</v>
      </c>
      <c r="C876" t="s">
        <v>189</v>
      </c>
      <c r="D876" t="s">
        <v>56</v>
      </c>
      <c r="E876" t="s">
        <v>57</v>
      </c>
      <c r="F876" t="s">
        <v>17</v>
      </c>
      <c r="G876" t="s">
        <v>75</v>
      </c>
      <c r="H876" t="s">
        <v>76</v>
      </c>
      <c r="I876">
        <v>2</v>
      </c>
      <c r="J876">
        <v>6570</v>
      </c>
      <c r="K876">
        <v>1528.52</v>
      </c>
      <c r="L876">
        <v>0</v>
      </c>
      <c r="M876" t="s">
        <v>45</v>
      </c>
      <c r="N876" t="str">
        <f>TEXT(Table1[[#This Row],[Order Date]],"MMMM")</f>
        <v>July</v>
      </c>
      <c r="O876">
        <f>YEAR(Table1[[#This Row],[Order Date]])</f>
        <v>2025</v>
      </c>
      <c r="P876" t="str">
        <f>"Q"&amp;ROUNDUP(MONTH(Table1[[#This Row],[Order Date]])/3,0)</f>
        <v>Q3</v>
      </c>
      <c r="Q876" s="3">
        <f>Table1[[#This Row],[Profit]]/Table1[[#This Row],[Sales]]</f>
        <v>0.23265144596651446</v>
      </c>
      <c r="R876" t="str">
        <f>IF(Table1[[#This Row],[Sales]]&lt;1000,"LOW",IF(Table1[[#This Row],[Sales]]&lt;5000,"MEDIUM","HIGH"))</f>
        <v>HIGH</v>
      </c>
      <c r="S876" s="2">
        <f>Table1[[#This Row],[Discount]]/100</f>
        <v>0</v>
      </c>
    </row>
    <row r="877" spans="1:19" x14ac:dyDescent="0.3">
      <c r="A877">
        <v>10876</v>
      </c>
      <c r="B877" s="1" t="s">
        <v>69</v>
      </c>
      <c r="C877" t="s">
        <v>233</v>
      </c>
      <c r="D877" t="s">
        <v>36</v>
      </c>
      <c r="E877" t="s">
        <v>37</v>
      </c>
      <c r="F877" t="s">
        <v>31</v>
      </c>
      <c r="G877" t="s">
        <v>124</v>
      </c>
      <c r="H877" t="s">
        <v>125</v>
      </c>
      <c r="I877">
        <v>5</v>
      </c>
      <c r="J877">
        <v>6707</v>
      </c>
      <c r="K877">
        <v>1883.6</v>
      </c>
      <c r="L877">
        <v>5</v>
      </c>
      <c r="M877" t="s">
        <v>40</v>
      </c>
      <c r="N877" t="str">
        <f>TEXT(Table1[[#This Row],[Order Date]],"MMMM")</f>
        <v>January</v>
      </c>
      <c r="O877">
        <f>YEAR(Table1[[#This Row],[Order Date]])</f>
        <v>2025</v>
      </c>
      <c r="P877" t="str">
        <f>"Q"&amp;ROUNDUP(MONTH(Table1[[#This Row],[Order Date]])/3,0)</f>
        <v>Q1</v>
      </c>
      <c r="Q877" s="3">
        <f>Table1[[#This Row],[Profit]]/Table1[[#This Row],[Sales]]</f>
        <v>0.28084091247949899</v>
      </c>
      <c r="R877" t="str">
        <f>IF(Table1[[#This Row],[Sales]]&lt;1000,"LOW",IF(Table1[[#This Row],[Sales]]&lt;5000,"MEDIUM","HIGH"))</f>
        <v>HIGH</v>
      </c>
      <c r="S877" s="2">
        <f>Table1[[#This Row],[Discount]]/100</f>
        <v>0.05</v>
      </c>
    </row>
    <row r="878" spans="1:19" x14ac:dyDescent="0.3">
      <c r="A878">
        <v>10877</v>
      </c>
      <c r="B878" s="1" t="s">
        <v>192</v>
      </c>
      <c r="C878" t="s">
        <v>195</v>
      </c>
      <c r="D878" t="s">
        <v>60</v>
      </c>
      <c r="E878" t="s">
        <v>61</v>
      </c>
      <c r="F878" t="s">
        <v>17</v>
      </c>
      <c r="G878" t="s">
        <v>75</v>
      </c>
      <c r="H878" t="s">
        <v>76</v>
      </c>
      <c r="I878">
        <v>6</v>
      </c>
      <c r="J878">
        <v>21642.9</v>
      </c>
      <c r="K878">
        <v>1976.77</v>
      </c>
      <c r="L878">
        <v>5</v>
      </c>
      <c r="M878" t="s">
        <v>20</v>
      </c>
      <c r="N878" t="str">
        <f>TEXT(Table1[[#This Row],[Order Date]],"MMMM")</f>
        <v>June</v>
      </c>
      <c r="O878">
        <f>YEAR(Table1[[#This Row],[Order Date]])</f>
        <v>2025</v>
      </c>
      <c r="P878" t="str">
        <f>"Q"&amp;ROUNDUP(MONTH(Table1[[#This Row],[Order Date]])/3,0)</f>
        <v>Q2</v>
      </c>
      <c r="Q878" s="3">
        <f>Table1[[#This Row],[Profit]]/Table1[[#This Row],[Sales]]</f>
        <v>9.1335726727933872E-2</v>
      </c>
      <c r="R878" t="str">
        <f>IF(Table1[[#This Row],[Sales]]&lt;1000,"LOW",IF(Table1[[#This Row],[Sales]]&lt;5000,"MEDIUM","HIGH"))</f>
        <v>HIGH</v>
      </c>
      <c r="S878" s="2">
        <f>Table1[[#This Row],[Discount]]/100</f>
        <v>0.05</v>
      </c>
    </row>
    <row r="879" spans="1:19" x14ac:dyDescent="0.3">
      <c r="A879">
        <v>10878</v>
      </c>
      <c r="B879" s="1" t="s">
        <v>335</v>
      </c>
      <c r="C879" t="s">
        <v>531</v>
      </c>
      <c r="D879" t="s">
        <v>36</v>
      </c>
      <c r="E879" t="s">
        <v>37</v>
      </c>
      <c r="F879" t="s">
        <v>17</v>
      </c>
      <c r="G879" t="s">
        <v>75</v>
      </c>
      <c r="H879" t="s">
        <v>116</v>
      </c>
      <c r="I879">
        <v>6</v>
      </c>
      <c r="J879">
        <v>1051.2</v>
      </c>
      <c r="K879">
        <v>151.32</v>
      </c>
      <c r="L879">
        <v>20</v>
      </c>
      <c r="M879" t="s">
        <v>20</v>
      </c>
      <c r="N879" t="str">
        <f>TEXT(Table1[[#This Row],[Order Date]],"MMMM")</f>
        <v>June</v>
      </c>
      <c r="O879">
        <f>YEAR(Table1[[#This Row],[Order Date]])</f>
        <v>2025</v>
      </c>
      <c r="P879" t="str">
        <f>"Q"&amp;ROUNDUP(MONTH(Table1[[#This Row],[Order Date]])/3,0)</f>
        <v>Q2</v>
      </c>
      <c r="Q879" s="3">
        <f>Table1[[#This Row],[Profit]]/Table1[[#This Row],[Sales]]</f>
        <v>0.14394977168949771</v>
      </c>
      <c r="R879" t="str">
        <f>IF(Table1[[#This Row],[Sales]]&lt;1000,"LOW",IF(Table1[[#This Row],[Sales]]&lt;5000,"MEDIUM","HIGH"))</f>
        <v>MEDIUM</v>
      </c>
      <c r="S879" s="2">
        <f>Table1[[#This Row],[Discount]]/100</f>
        <v>0.2</v>
      </c>
    </row>
    <row r="880" spans="1:19" x14ac:dyDescent="0.3">
      <c r="A880">
        <v>10879</v>
      </c>
      <c r="B880" s="1" t="s">
        <v>101</v>
      </c>
      <c r="C880" t="s">
        <v>311</v>
      </c>
      <c r="D880" t="s">
        <v>52</v>
      </c>
      <c r="E880" t="s">
        <v>53</v>
      </c>
      <c r="F880" t="s">
        <v>17</v>
      </c>
      <c r="G880" t="s">
        <v>43</v>
      </c>
      <c r="H880" t="s">
        <v>44</v>
      </c>
      <c r="I880">
        <v>6</v>
      </c>
      <c r="J880">
        <v>23928.6</v>
      </c>
      <c r="K880">
        <v>6142.26</v>
      </c>
      <c r="L880">
        <v>5</v>
      </c>
      <c r="M880" t="s">
        <v>45</v>
      </c>
      <c r="N880" t="str">
        <f>TEXT(Table1[[#This Row],[Order Date]],"MMMM")</f>
        <v>July</v>
      </c>
      <c r="O880">
        <f>YEAR(Table1[[#This Row],[Order Date]])</f>
        <v>2025</v>
      </c>
      <c r="P880" t="str">
        <f>"Q"&amp;ROUNDUP(MONTH(Table1[[#This Row],[Order Date]])/3,0)</f>
        <v>Q3</v>
      </c>
      <c r="Q880" s="3">
        <f>Table1[[#This Row],[Profit]]/Table1[[#This Row],[Sales]]</f>
        <v>0.25669115618966426</v>
      </c>
      <c r="R880" t="str">
        <f>IF(Table1[[#This Row],[Sales]]&lt;1000,"LOW",IF(Table1[[#This Row],[Sales]]&lt;5000,"MEDIUM","HIGH"))</f>
        <v>HIGH</v>
      </c>
      <c r="S880" s="2">
        <f>Table1[[#This Row],[Discount]]/100</f>
        <v>0.05</v>
      </c>
    </row>
    <row r="881" spans="1:19" x14ac:dyDescent="0.3">
      <c r="A881">
        <v>10880</v>
      </c>
      <c r="B881" s="1" t="s">
        <v>458</v>
      </c>
      <c r="C881" t="s">
        <v>139</v>
      </c>
      <c r="D881" t="s">
        <v>23</v>
      </c>
      <c r="E881" t="s">
        <v>24</v>
      </c>
      <c r="F881" t="s">
        <v>31</v>
      </c>
      <c r="G881" t="s">
        <v>89</v>
      </c>
      <c r="H881" t="s">
        <v>90</v>
      </c>
      <c r="I881">
        <v>5</v>
      </c>
      <c r="J881">
        <v>18115</v>
      </c>
      <c r="K881">
        <v>3853.54</v>
      </c>
      <c r="L881">
        <v>0</v>
      </c>
      <c r="M881" t="s">
        <v>49</v>
      </c>
      <c r="N881" t="str">
        <f>TEXT(Table1[[#This Row],[Order Date]],"MMMM")</f>
        <v>September</v>
      </c>
      <c r="O881">
        <f>YEAR(Table1[[#This Row],[Order Date]])</f>
        <v>2025</v>
      </c>
      <c r="P881" t="str">
        <f>"Q"&amp;ROUNDUP(MONTH(Table1[[#This Row],[Order Date]])/3,0)</f>
        <v>Q3</v>
      </c>
      <c r="Q881" s="3">
        <f>Table1[[#This Row],[Profit]]/Table1[[#This Row],[Sales]]</f>
        <v>0.21272646977642837</v>
      </c>
      <c r="R881" t="str">
        <f>IF(Table1[[#This Row],[Sales]]&lt;1000,"LOW",IF(Table1[[#This Row],[Sales]]&lt;5000,"MEDIUM","HIGH"))</f>
        <v>HIGH</v>
      </c>
      <c r="S881" s="2">
        <f>Table1[[#This Row],[Discount]]/100</f>
        <v>0</v>
      </c>
    </row>
    <row r="882" spans="1:19" x14ac:dyDescent="0.3">
      <c r="A882">
        <v>10881</v>
      </c>
      <c r="B882" s="1" t="s">
        <v>438</v>
      </c>
      <c r="C882" t="s">
        <v>115</v>
      </c>
      <c r="D882" t="s">
        <v>66</v>
      </c>
      <c r="E882" t="s">
        <v>16</v>
      </c>
      <c r="F882" t="s">
        <v>17</v>
      </c>
      <c r="G882" t="s">
        <v>75</v>
      </c>
      <c r="H882" t="s">
        <v>116</v>
      </c>
      <c r="I882">
        <v>3</v>
      </c>
      <c r="J882">
        <v>596.70000000000005</v>
      </c>
      <c r="K882">
        <v>149.51</v>
      </c>
      <c r="L882">
        <v>10</v>
      </c>
      <c r="M882" t="s">
        <v>28</v>
      </c>
      <c r="N882" t="str">
        <f>TEXT(Table1[[#This Row],[Order Date]],"MMMM")</f>
        <v>September</v>
      </c>
      <c r="O882">
        <f>YEAR(Table1[[#This Row],[Order Date]])</f>
        <v>2025</v>
      </c>
      <c r="P882" t="str">
        <f>"Q"&amp;ROUNDUP(MONTH(Table1[[#This Row],[Order Date]])/3,0)</f>
        <v>Q3</v>
      </c>
      <c r="Q882" s="3">
        <f>Table1[[#This Row],[Profit]]/Table1[[#This Row],[Sales]]</f>
        <v>0.2505614211496564</v>
      </c>
      <c r="R882" t="str">
        <f>IF(Table1[[#This Row],[Sales]]&lt;1000,"LOW",IF(Table1[[#This Row],[Sales]]&lt;5000,"MEDIUM","HIGH"))</f>
        <v>LOW</v>
      </c>
      <c r="S882" s="2">
        <f>Table1[[#This Row],[Discount]]/100</f>
        <v>0.1</v>
      </c>
    </row>
    <row r="883" spans="1:19" x14ac:dyDescent="0.3">
      <c r="A883">
        <v>10882</v>
      </c>
      <c r="B883" s="1" t="s">
        <v>226</v>
      </c>
      <c r="C883" t="s">
        <v>571</v>
      </c>
      <c r="D883" t="s">
        <v>23</v>
      </c>
      <c r="E883" t="s">
        <v>24</v>
      </c>
      <c r="F883" t="s">
        <v>17</v>
      </c>
      <c r="G883" t="s">
        <v>43</v>
      </c>
      <c r="H883" t="s">
        <v>44</v>
      </c>
      <c r="I883">
        <v>6</v>
      </c>
      <c r="J883">
        <v>11244</v>
      </c>
      <c r="K883">
        <v>2265.98</v>
      </c>
      <c r="L883">
        <v>0</v>
      </c>
      <c r="M883" t="s">
        <v>45</v>
      </c>
      <c r="N883" t="str">
        <f>TEXT(Table1[[#This Row],[Order Date]],"MMMM")</f>
        <v>December</v>
      </c>
      <c r="O883">
        <f>YEAR(Table1[[#This Row],[Order Date]])</f>
        <v>2025</v>
      </c>
      <c r="P883" t="str">
        <f>"Q"&amp;ROUNDUP(MONTH(Table1[[#This Row],[Order Date]])/3,0)</f>
        <v>Q4</v>
      </c>
      <c r="Q883" s="3">
        <f>Table1[[#This Row],[Profit]]/Table1[[#This Row],[Sales]]</f>
        <v>0.20152792600498043</v>
      </c>
      <c r="R883" t="str">
        <f>IF(Table1[[#This Row],[Sales]]&lt;1000,"LOW",IF(Table1[[#This Row],[Sales]]&lt;5000,"MEDIUM","HIGH"))</f>
        <v>HIGH</v>
      </c>
      <c r="S883" s="2">
        <f>Table1[[#This Row],[Discount]]/100</f>
        <v>0</v>
      </c>
    </row>
    <row r="884" spans="1:19" x14ac:dyDescent="0.3">
      <c r="A884">
        <v>10883</v>
      </c>
      <c r="B884" s="1" t="s">
        <v>352</v>
      </c>
      <c r="C884" t="s">
        <v>235</v>
      </c>
      <c r="D884" t="s">
        <v>36</v>
      </c>
      <c r="E884" t="s">
        <v>37</v>
      </c>
      <c r="F884" t="s">
        <v>25</v>
      </c>
      <c r="G884" t="s">
        <v>26</v>
      </c>
      <c r="H884" t="s">
        <v>71</v>
      </c>
      <c r="I884">
        <v>5</v>
      </c>
      <c r="J884">
        <v>16630.25</v>
      </c>
      <c r="K884">
        <v>2075.14</v>
      </c>
      <c r="L884">
        <v>15</v>
      </c>
      <c r="M884" t="s">
        <v>45</v>
      </c>
      <c r="N884" t="str">
        <f>TEXT(Table1[[#This Row],[Order Date]],"MMMM")</f>
        <v>April</v>
      </c>
      <c r="O884">
        <f>YEAR(Table1[[#This Row],[Order Date]])</f>
        <v>2025</v>
      </c>
      <c r="P884" t="str">
        <f>"Q"&amp;ROUNDUP(MONTH(Table1[[#This Row],[Order Date]])/3,0)</f>
        <v>Q2</v>
      </c>
      <c r="Q884" s="3">
        <f>Table1[[#This Row],[Profit]]/Table1[[#This Row],[Sales]]</f>
        <v>0.12478104658679214</v>
      </c>
      <c r="R884" t="str">
        <f>IF(Table1[[#This Row],[Sales]]&lt;1000,"LOW",IF(Table1[[#This Row],[Sales]]&lt;5000,"MEDIUM","HIGH"))</f>
        <v>HIGH</v>
      </c>
      <c r="S884" s="2">
        <f>Table1[[#This Row],[Discount]]/100</f>
        <v>0.15</v>
      </c>
    </row>
    <row r="885" spans="1:19" x14ac:dyDescent="0.3">
      <c r="A885">
        <v>10884</v>
      </c>
      <c r="B885" s="1" t="s">
        <v>429</v>
      </c>
      <c r="C885" t="s">
        <v>300</v>
      </c>
      <c r="D885" t="s">
        <v>52</v>
      </c>
      <c r="E885" t="s">
        <v>53</v>
      </c>
      <c r="F885" t="s">
        <v>17</v>
      </c>
      <c r="G885" t="s">
        <v>75</v>
      </c>
      <c r="H885" t="s">
        <v>116</v>
      </c>
      <c r="I885">
        <v>8</v>
      </c>
      <c r="J885">
        <v>30680</v>
      </c>
      <c r="K885">
        <v>4487.74</v>
      </c>
      <c r="L885">
        <v>0</v>
      </c>
      <c r="M885" t="s">
        <v>45</v>
      </c>
      <c r="N885" t="str">
        <f>TEXT(Table1[[#This Row],[Order Date]],"MMMM")</f>
        <v>September</v>
      </c>
      <c r="O885">
        <f>YEAR(Table1[[#This Row],[Order Date]])</f>
        <v>2025</v>
      </c>
      <c r="P885" t="str">
        <f>"Q"&amp;ROUNDUP(MONTH(Table1[[#This Row],[Order Date]])/3,0)</f>
        <v>Q3</v>
      </c>
      <c r="Q885" s="3">
        <f>Table1[[#This Row],[Profit]]/Table1[[#This Row],[Sales]]</f>
        <v>0.14627574967405474</v>
      </c>
      <c r="R885" t="str">
        <f>IF(Table1[[#This Row],[Sales]]&lt;1000,"LOW",IF(Table1[[#This Row],[Sales]]&lt;5000,"MEDIUM","HIGH"))</f>
        <v>HIGH</v>
      </c>
      <c r="S885" s="2">
        <f>Table1[[#This Row],[Discount]]/100</f>
        <v>0</v>
      </c>
    </row>
    <row r="886" spans="1:19" x14ac:dyDescent="0.3">
      <c r="A886">
        <v>10885</v>
      </c>
      <c r="B886" s="1" t="s">
        <v>522</v>
      </c>
      <c r="C886" t="s">
        <v>412</v>
      </c>
      <c r="D886" t="s">
        <v>23</v>
      </c>
      <c r="E886" t="s">
        <v>24</v>
      </c>
      <c r="F886" t="s">
        <v>31</v>
      </c>
      <c r="G886" t="s">
        <v>89</v>
      </c>
      <c r="H886" t="s">
        <v>90</v>
      </c>
      <c r="I886">
        <v>8</v>
      </c>
      <c r="J886">
        <v>2432</v>
      </c>
      <c r="K886">
        <v>648.80999999999995</v>
      </c>
      <c r="L886">
        <v>20</v>
      </c>
      <c r="M886" t="s">
        <v>45</v>
      </c>
      <c r="N886" t="str">
        <f>TEXT(Table1[[#This Row],[Order Date]],"MMMM")</f>
        <v>April</v>
      </c>
      <c r="O886">
        <f>YEAR(Table1[[#This Row],[Order Date]])</f>
        <v>2025</v>
      </c>
      <c r="P886" t="str">
        <f>"Q"&amp;ROUNDUP(MONTH(Table1[[#This Row],[Order Date]])/3,0)</f>
        <v>Q2</v>
      </c>
      <c r="Q886" s="3">
        <f>Table1[[#This Row],[Profit]]/Table1[[#This Row],[Sales]]</f>
        <v>0.26678042763157894</v>
      </c>
      <c r="R886" t="str">
        <f>IF(Table1[[#This Row],[Sales]]&lt;1000,"LOW",IF(Table1[[#This Row],[Sales]]&lt;5000,"MEDIUM","HIGH"))</f>
        <v>MEDIUM</v>
      </c>
      <c r="S886" s="2">
        <f>Table1[[#This Row],[Discount]]/100</f>
        <v>0.2</v>
      </c>
    </row>
    <row r="887" spans="1:19" x14ac:dyDescent="0.3">
      <c r="A887">
        <v>10886</v>
      </c>
      <c r="B887" s="1" t="s">
        <v>77</v>
      </c>
      <c r="C887" t="s">
        <v>469</v>
      </c>
      <c r="D887" t="s">
        <v>15</v>
      </c>
      <c r="E887" t="s">
        <v>16</v>
      </c>
      <c r="F887" t="s">
        <v>25</v>
      </c>
      <c r="G887" t="s">
        <v>26</v>
      </c>
      <c r="H887" t="s">
        <v>71</v>
      </c>
      <c r="I887">
        <v>8</v>
      </c>
      <c r="J887">
        <v>34392</v>
      </c>
      <c r="K887">
        <v>10230.129999999999</v>
      </c>
      <c r="L887">
        <v>0</v>
      </c>
      <c r="M887" t="s">
        <v>40</v>
      </c>
      <c r="N887" t="str">
        <f>TEXT(Table1[[#This Row],[Order Date]],"MMMM")</f>
        <v>March</v>
      </c>
      <c r="O887">
        <f>YEAR(Table1[[#This Row],[Order Date]])</f>
        <v>2025</v>
      </c>
      <c r="P887" t="str">
        <f>"Q"&amp;ROUNDUP(MONTH(Table1[[#This Row],[Order Date]])/3,0)</f>
        <v>Q1</v>
      </c>
      <c r="Q887" s="3">
        <f>Table1[[#This Row],[Profit]]/Table1[[#This Row],[Sales]]</f>
        <v>0.29745667597115605</v>
      </c>
      <c r="R887" t="str">
        <f>IF(Table1[[#This Row],[Sales]]&lt;1000,"LOW",IF(Table1[[#This Row],[Sales]]&lt;5000,"MEDIUM","HIGH"))</f>
        <v>HIGH</v>
      </c>
      <c r="S887" s="2">
        <f>Table1[[#This Row],[Discount]]/100</f>
        <v>0</v>
      </c>
    </row>
    <row r="888" spans="1:19" x14ac:dyDescent="0.3">
      <c r="A888">
        <v>10887</v>
      </c>
      <c r="B888" s="1" t="s">
        <v>69</v>
      </c>
      <c r="C888" t="s">
        <v>544</v>
      </c>
      <c r="D888" t="s">
        <v>23</v>
      </c>
      <c r="E888" t="s">
        <v>24</v>
      </c>
      <c r="F888" t="s">
        <v>25</v>
      </c>
      <c r="G888" t="s">
        <v>26</v>
      </c>
      <c r="H888" t="s">
        <v>27</v>
      </c>
      <c r="I888">
        <v>5</v>
      </c>
      <c r="J888">
        <v>19656.25</v>
      </c>
      <c r="K888">
        <v>3922.2</v>
      </c>
      <c r="L888">
        <v>15</v>
      </c>
      <c r="M888" t="s">
        <v>40</v>
      </c>
      <c r="N888" t="str">
        <f>TEXT(Table1[[#This Row],[Order Date]],"MMMM")</f>
        <v>January</v>
      </c>
      <c r="O888">
        <f>YEAR(Table1[[#This Row],[Order Date]])</f>
        <v>2025</v>
      </c>
      <c r="P888" t="str">
        <f>"Q"&amp;ROUNDUP(MONTH(Table1[[#This Row],[Order Date]])/3,0)</f>
        <v>Q1</v>
      </c>
      <c r="Q888" s="3">
        <f>Table1[[#This Row],[Profit]]/Table1[[#This Row],[Sales]]</f>
        <v>0.199539586645469</v>
      </c>
      <c r="R888" t="str">
        <f>IF(Table1[[#This Row],[Sales]]&lt;1000,"LOW",IF(Table1[[#This Row],[Sales]]&lt;5000,"MEDIUM","HIGH"))</f>
        <v>HIGH</v>
      </c>
      <c r="S888" s="2">
        <f>Table1[[#This Row],[Discount]]/100</f>
        <v>0.15</v>
      </c>
    </row>
    <row r="889" spans="1:19" x14ac:dyDescent="0.3">
      <c r="A889">
        <v>10888</v>
      </c>
      <c r="B889" s="1" t="s">
        <v>572</v>
      </c>
      <c r="C889" t="s">
        <v>51</v>
      </c>
      <c r="D889" t="s">
        <v>36</v>
      </c>
      <c r="E889" t="s">
        <v>37</v>
      </c>
      <c r="F889" t="s">
        <v>31</v>
      </c>
      <c r="G889" t="s">
        <v>32</v>
      </c>
      <c r="H889" t="s">
        <v>33</v>
      </c>
      <c r="I889">
        <v>6</v>
      </c>
      <c r="J889">
        <v>19910.400000000001</v>
      </c>
      <c r="K889">
        <v>5276.12</v>
      </c>
      <c r="L889">
        <v>15</v>
      </c>
      <c r="M889" t="s">
        <v>40</v>
      </c>
      <c r="N889" t="str">
        <f>TEXT(Table1[[#This Row],[Order Date]],"MMMM")</f>
        <v>June</v>
      </c>
      <c r="O889">
        <f>YEAR(Table1[[#This Row],[Order Date]])</f>
        <v>2025</v>
      </c>
      <c r="P889" t="str">
        <f>"Q"&amp;ROUNDUP(MONTH(Table1[[#This Row],[Order Date]])/3,0)</f>
        <v>Q2</v>
      </c>
      <c r="Q889" s="3">
        <f>Table1[[#This Row],[Profit]]/Table1[[#This Row],[Sales]]</f>
        <v>0.2649931693989071</v>
      </c>
      <c r="R889" t="str">
        <f>IF(Table1[[#This Row],[Sales]]&lt;1000,"LOW",IF(Table1[[#This Row],[Sales]]&lt;5000,"MEDIUM","HIGH"))</f>
        <v>HIGH</v>
      </c>
      <c r="S889" s="2">
        <f>Table1[[#This Row],[Discount]]/100</f>
        <v>0.15</v>
      </c>
    </row>
    <row r="890" spans="1:19" x14ac:dyDescent="0.3">
      <c r="A890">
        <v>10889</v>
      </c>
      <c r="B890" s="1" t="s">
        <v>451</v>
      </c>
      <c r="C890" t="s">
        <v>489</v>
      </c>
      <c r="D890" t="s">
        <v>23</v>
      </c>
      <c r="E890" t="s">
        <v>24</v>
      </c>
      <c r="F890" t="s">
        <v>31</v>
      </c>
      <c r="G890" t="s">
        <v>124</v>
      </c>
      <c r="H890" t="s">
        <v>125</v>
      </c>
      <c r="I890">
        <v>4</v>
      </c>
      <c r="J890">
        <v>8285.7999999999993</v>
      </c>
      <c r="K890">
        <v>1776.8</v>
      </c>
      <c r="L890">
        <v>15</v>
      </c>
      <c r="M890" t="s">
        <v>49</v>
      </c>
      <c r="N890" t="str">
        <f>TEXT(Table1[[#This Row],[Order Date]],"MMMM")</f>
        <v>May</v>
      </c>
      <c r="O890">
        <f>YEAR(Table1[[#This Row],[Order Date]])</f>
        <v>2025</v>
      </c>
      <c r="P890" t="str">
        <f>"Q"&amp;ROUNDUP(MONTH(Table1[[#This Row],[Order Date]])/3,0)</f>
        <v>Q2</v>
      </c>
      <c r="Q890" s="3">
        <f>Table1[[#This Row],[Profit]]/Table1[[#This Row],[Sales]]</f>
        <v>0.21443916097419682</v>
      </c>
      <c r="R890" t="str">
        <f>IF(Table1[[#This Row],[Sales]]&lt;1000,"LOW",IF(Table1[[#This Row],[Sales]]&lt;5000,"MEDIUM","HIGH"))</f>
        <v>HIGH</v>
      </c>
      <c r="S890" s="2">
        <f>Table1[[#This Row],[Discount]]/100</f>
        <v>0.15</v>
      </c>
    </row>
    <row r="891" spans="1:19" x14ac:dyDescent="0.3">
      <c r="A891">
        <v>10890</v>
      </c>
      <c r="B891" s="1" t="s">
        <v>142</v>
      </c>
      <c r="C891" t="s">
        <v>100</v>
      </c>
      <c r="D891" t="s">
        <v>15</v>
      </c>
      <c r="E891" t="s">
        <v>16</v>
      </c>
      <c r="F891" t="s">
        <v>31</v>
      </c>
      <c r="G891" t="s">
        <v>38</v>
      </c>
      <c r="H891" t="s">
        <v>39</v>
      </c>
      <c r="I891">
        <v>8</v>
      </c>
      <c r="J891">
        <v>6232</v>
      </c>
      <c r="K891">
        <v>1116.81</v>
      </c>
      <c r="L891">
        <v>5</v>
      </c>
      <c r="M891" t="s">
        <v>28</v>
      </c>
      <c r="N891" t="str">
        <f>TEXT(Table1[[#This Row],[Order Date]],"MMMM")</f>
        <v>October</v>
      </c>
      <c r="O891">
        <f>YEAR(Table1[[#This Row],[Order Date]])</f>
        <v>2025</v>
      </c>
      <c r="P891" t="str">
        <f>"Q"&amp;ROUNDUP(MONTH(Table1[[#This Row],[Order Date]])/3,0)</f>
        <v>Q4</v>
      </c>
      <c r="Q891" s="3">
        <f>Table1[[#This Row],[Profit]]/Table1[[#This Row],[Sales]]</f>
        <v>0.17920571245186134</v>
      </c>
      <c r="R891" t="str">
        <f>IF(Table1[[#This Row],[Sales]]&lt;1000,"LOW",IF(Table1[[#This Row],[Sales]]&lt;5000,"MEDIUM","HIGH"))</f>
        <v>HIGH</v>
      </c>
      <c r="S891" s="2">
        <f>Table1[[#This Row],[Discount]]/100</f>
        <v>0.05</v>
      </c>
    </row>
    <row r="892" spans="1:19" x14ac:dyDescent="0.3">
      <c r="A892">
        <v>10891</v>
      </c>
      <c r="B892" s="1" t="s">
        <v>200</v>
      </c>
      <c r="C892" t="s">
        <v>479</v>
      </c>
      <c r="D892" t="s">
        <v>52</v>
      </c>
      <c r="E892" t="s">
        <v>53</v>
      </c>
      <c r="F892" t="s">
        <v>31</v>
      </c>
      <c r="G892" t="s">
        <v>124</v>
      </c>
      <c r="H892" t="s">
        <v>125</v>
      </c>
      <c r="I892">
        <v>3</v>
      </c>
      <c r="J892">
        <v>4398.75</v>
      </c>
      <c r="K892">
        <v>1204.56</v>
      </c>
      <c r="L892">
        <v>15</v>
      </c>
      <c r="M892" t="s">
        <v>40</v>
      </c>
      <c r="N892" t="str">
        <f>TEXT(Table1[[#This Row],[Order Date]],"MMMM")</f>
        <v>July</v>
      </c>
      <c r="O892">
        <f>YEAR(Table1[[#This Row],[Order Date]])</f>
        <v>2025</v>
      </c>
      <c r="P892" t="str">
        <f>"Q"&amp;ROUNDUP(MONTH(Table1[[#This Row],[Order Date]])/3,0)</f>
        <v>Q3</v>
      </c>
      <c r="Q892" s="3">
        <f>Table1[[#This Row],[Profit]]/Table1[[#This Row],[Sales]]</f>
        <v>0.27384143222506391</v>
      </c>
      <c r="R892" t="str">
        <f>IF(Table1[[#This Row],[Sales]]&lt;1000,"LOW",IF(Table1[[#This Row],[Sales]]&lt;5000,"MEDIUM","HIGH"))</f>
        <v>MEDIUM</v>
      </c>
      <c r="S892" s="2">
        <f>Table1[[#This Row],[Discount]]/100</f>
        <v>0.15</v>
      </c>
    </row>
    <row r="893" spans="1:19" x14ac:dyDescent="0.3">
      <c r="A893">
        <v>10892</v>
      </c>
      <c r="B893" s="1" t="s">
        <v>416</v>
      </c>
      <c r="C893" t="s">
        <v>419</v>
      </c>
      <c r="D893" t="s">
        <v>52</v>
      </c>
      <c r="E893" t="s">
        <v>53</v>
      </c>
      <c r="F893" t="s">
        <v>31</v>
      </c>
      <c r="G893" t="s">
        <v>89</v>
      </c>
      <c r="H893" t="s">
        <v>90</v>
      </c>
      <c r="I893">
        <v>3</v>
      </c>
      <c r="J893">
        <v>10855.2</v>
      </c>
      <c r="K893">
        <v>1457.31</v>
      </c>
      <c r="L893">
        <v>20</v>
      </c>
      <c r="M893" t="s">
        <v>20</v>
      </c>
      <c r="N893" t="str">
        <f>TEXT(Table1[[#This Row],[Order Date]],"MMMM")</f>
        <v>March</v>
      </c>
      <c r="O893">
        <f>YEAR(Table1[[#This Row],[Order Date]])</f>
        <v>2025</v>
      </c>
      <c r="P893" t="str">
        <f>"Q"&amp;ROUNDUP(MONTH(Table1[[#This Row],[Order Date]])/3,0)</f>
        <v>Q1</v>
      </c>
      <c r="Q893" s="3">
        <f>Table1[[#This Row],[Profit]]/Table1[[#This Row],[Sales]]</f>
        <v>0.13424994472695112</v>
      </c>
      <c r="R893" t="str">
        <f>IF(Table1[[#This Row],[Sales]]&lt;1000,"LOW",IF(Table1[[#This Row],[Sales]]&lt;5000,"MEDIUM","HIGH"))</f>
        <v>HIGH</v>
      </c>
      <c r="S893" s="2">
        <f>Table1[[#This Row],[Discount]]/100</f>
        <v>0.2</v>
      </c>
    </row>
    <row r="894" spans="1:19" x14ac:dyDescent="0.3">
      <c r="A894">
        <v>10893</v>
      </c>
      <c r="B894" s="1" t="s">
        <v>423</v>
      </c>
      <c r="C894" t="s">
        <v>571</v>
      </c>
      <c r="D894" t="s">
        <v>60</v>
      </c>
      <c r="E894" t="s">
        <v>61</v>
      </c>
      <c r="F894" t="s">
        <v>31</v>
      </c>
      <c r="G894" t="s">
        <v>124</v>
      </c>
      <c r="H894" t="s">
        <v>125</v>
      </c>
      <c r="I894">
        <v>2</v>
      </c>
      <c r="J894">
        <v>6750</v>
      </c>
      <c r="K894">
        <v>910.73</v>
      </c>
      <c r="L894">
        <v>10</v>
      </c>
      <c r="M894" t="s">
        <v>49</v>
      </c>
      <c r="N894" t="str">
        <f>TEXT(Table1[[#This Row],[Order Date]],"MMMM")</f>
        <v>April</v>
      </c>
      <c r="O894">
        <f>YEAR(Table1[[#This Row],[Order Date]])</f>
        <v>2025</v>
      </c>
      <c r="P894" t="str">
        <f>"Q"&amp;ROUNDUP(MONTH(Table1[[#This Row],[Order Date]])/3,0)</f>
        <v>Q2</v>
      </c>
      <c r="Q894" s="3">
        <f>Table1[[#This Row],[Profit]]/Table1[[#This Row],[Sales]]</f>
        <v>0.13492296296296297</v>
      </c>
      <c r="R894" t="str">
        <f>IF(Table1[[#This Row],[Sales]]&lt;1000,"LOW",IF(Table1[[#This Row],[Sales]]&lt;5000,"MEDIUM","HIGH"))</f>
        <v>HIGH</v>
      </c>
      <c r="S894" s="2">
        <f>Table1[[#This Row],[Discount]]/100</f>
        <v>0.1</v>
      </c>
    </row>
    <row r="895" spans="1:19" x14ac:dyDescent="0.3">
      <c r="A895">
        <v>10894</v>
      </c>
      <c r="B895" s="1" t="s">
        <v>455</v>
      </c>
      <c r="C895" t="s">
        <v>238</v>
      </c>
      <c r="D895" t="s">
        <v>56</v>
      </c>
      <c r="E895" t="s">
        <v>57</v>
      </c>
      <c r="F895" t="s">
        <v>17</v>
      </c>
      <c r="G895" t="s">
        <v>18</v>
      </c>
      <c r="H895" t="s">
        <v>19</v>
      </c>
      <c r="I895">
        <v>6</v>
      </c>
      <c r="J895">
        <v>7428</v>
      </c>
      <c r="K895">
        <v>1480.26</v>
      </c>
      <c r="L895">
        <v>0</v>
      </c>
      <c r="M895" t="s">
        <v>40</v>
      </c>
      <c r="N895" t="str">
        <f>TEXT(Table1[[#This Row],[Order Date]],"MMMM")</f>
        <v>March</v>
      </c>
      <c r="O895">
        <f>YEAR(Table1[[#This Row],[Order Date]])</f>
        <v>2025</v>
      </c>
      <c r="P895" t="str">
        <f>"Q"&amp;ROUNDUP(MONTH(Table1[[#This Row],[Order Date]])/3,0)</f>
        <v>Q1</v>
      </c>
      <c r="Q895" s="3">
        <f>Table1[[#This Row],[Profit]]/Table1[[#This Row],[Sales]]</f>
        <v>0.19928109854604201</v>
      </c>
      <c r="R895" t="str">
        <f>IF(Table1[[#This Row],[Sales]]&lt;1000,"LOW",IF(Table1[[#This Row],[Sales]]&lt;5000,"MEDIUM","HIGH"))</f>
        <v>HIGH</v>
      </c>
      <c r="S895" s="2">
        <f>Table1[[#This Row],[Discount]]/100</f>
        <v>0</v>
      </c>
    </row>
    <row r="896" spans="1:19" x14ac:dyDescent="0.3">
      <c r="A896">
        <v>10895</v>
      </c>
      <c r="B896" s="1" t="s">
        <v>29</v>
      </c>
      <c r="C896" t="s">
        <v>169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8</v>
      </c>
      <c r="J896">
        <v>12008.8</v>
      </c>
      <c r="K896">
        <v>3144.98</v>
      </c>
      <c r="L896">
        <v>15</v>
      </c>
      <c r="M896" t="s">
        <v>49</v>
      </c>
      <c r="N896" t="str">
        <f>TEXT(Table1[[#This Row],[Order Date]],"MMMM")</f>
        <v>July</v>
      </c>
      <c r="O896">
        <f>YEAR(Table1[[#This Row],[Order Date]])</f>
        <v>2025</v>
      </c>
      <c r="P896" t="str">
        <f>"Q"&amp;ROUNDUP(MONTH(Table1[[#This Row],[Order Date]])/3,0)</f>
        <v>Q3</v>
      </c>
      <c r="Q896" s="3">
        <f>Table1[[#This Row],[Profit]]/Table1[[#This Row],[Sales]]</f>
        <v>0.26188961428285923</v>
      </c>
      <c r="R896" t="str">
        <f>IF(Table1[[#This Row],[Sales]]&lt;1000,"LOW",IF(Table1[[#This Row],[Sales]]&lt;5000,"MEDIUM","HIGH"))</f>
        <v>HIGH</v>
      </c>
      <c r="S896" s="2">
        <f>Table1[[#This Row],[Discount]]/100</f>
        <v>0.15</v>
      </c>
    </row>
    <row r="897" spans="1:19" x14ac:dyDescent="0.3">
      <c r="A897">
        <v>10896</v>
      </c>
      <c r="B897" s="1" t="s">
        <v>309</v>
      </c>
      <c r="C897" t="s">
        <v>70</v>
      </c>
      <c r="D897" t="s">
        <v>60</v>
      </c>
      <c r="E897" t="s">
        <v>61</v>
      </c>
      <c r="F897" t="s">
        <v>31</v>
      </c>
      <c r="G897" t="s">
        <v>32</v>
      </c>
      <c r="H897" t="s">
        <v>33</v>
      </c>
      <c r="I897">
        <v>4</v>
      </c>
      <c r="J897">
        <v>12724</v>
      </c>
      <c r="K897">
        <v>1493.09</v>
      </c>
      <c r="L897">
        <v>0</v>
      </c>
      <c r="M897" t="s">
        <v>28</v>
      </c>
      <c r="N897" t="str">
        <f>TEXT(Table1[[#This Row],[Order Date]],"MMMM")</f>
        <v>July</v>
      </c>
      <c r="O897">
        <f>YEAR(Table1[[#This Row],[Order Date]])</f>
        <v>2025</v>
      </c>
      <c r="P897" t="str">
        <f>"Q"&amp;ROUNDUP(MONTH(Table1[[#This Row],[Order Date]])/3,0)</f>
        <v>Q3</v>
      </c>
      <c r="Q897" s="3">
        <f>Table1[[#This Row],[Profit]]/Table1[[#This Row],[Sales]]</f>
        <v>0.11734438855705752</v>
      </c>
      <c r="R897" t="str">
        <f>IF(Table1[[#This Row],[Sales]]&lt;1000,"LOW",IF(Table1[[#This Row],[Sales]]&lt;5000,"MEDIUM","HIGH"))</f>
        <v>HIGH</v>
      </c>
      <c r="S897" s="2">
        <f>Table1[[#This Row],[Discount]]/100</f>
        <v>0</v>
      </c>
    </row>
    <row r="898" spans="1:19" x14ac:dyDescent="0.3">
      <c r="A898">
        <v>10897</v>
      </c>
      <c r="B898" s="1" t="s">
        <v>117</v>
      </c>
      <c r="C898" t="s">
        <v>500</v>
      </c>
      <c r="D898" t="s">
        <v>66</v>
      </c>
      <c r="E898" t="s">
        <v>16</v>
      </c>
      <c r="F898" t="s">
        <v>25</v>
      </c>
      <c r="G898" t="s">
        <v>26</v>
      </c>
      <c r="H898" t="s">
        <v>71</v>
      </c>
      <c r="I898">
        <v>7</v>
      </c>
      <c r="J898">
        <v>23288.3</v>
      </c>
      <c r="K898">
        <v>3026.01</v>
      </c>
      <c r="L898">
        <v>5</v>
      </c>
      <c r="M898" t="s">
        <v>40</v>
      </c>
      <c r="N898" t="str">
        <f>TEXT(Table1[[#This Row],[Order Date]],"MMMM")</f>
        <v>February</v>
      </c>
      <c r="O898">
        <f>YEAR(Table1[[#This Row],[Order Date]])</f>
        <v>2025</v>
      </c>
      <c r="P898" t="str">
        <f>"Q"&amp;ROUNDUP(MONTH(Table1[[#This Row],[Order Date]])/3,0)</f>
        <v>Q1</v>
      </c>
      <c r="Q898" s="3">
        <f>Table1[[#This Row],[Profit]]/Table1[[#This Row],[Sales]]</f>
        <v>0.1299369211148946</v>
      </c>
      <c r="R898" t="str">
        <f>IF(Table1[[#This Row],[Sales]]&lt;1000,"LOW",IF(Table1[[#This Row],[Sales]]&lt;5000,"MEDIUM","HIGH"))</f>
        <v>HIGH</v>
      </c>
      <c r="S898" s="2">
        <f>Table1[[#This Row],[Discount]]/100</f>
        <v>0.05</v>
      </c>
    </row>
    <row r="899" spans="1:19" x14ac:dyDescent="0.3">
      <c r="A899">
        <v>10898</v>
      </c>
      <c r="B899" s="1" t="s">
        <v>325</v>
      </c>
      <c r="C899" t="s">
        <v>488</v>
      </c>
      <c r="D899" t="s">
        <v>66</v>
      </c>
      <c r="E899" t="s">
        <v>16</v>
      </c>
      <c r="F899" t="s">
        <v>25</v>
      </c>
      <c r="G899" t="s">
        <v>26</v>
      </c>
      <c r="H899" t="s">
        <v>48</v>
      </c>
      <c r="I899">
        <v>8</v>
      </c>
      <c r="J899">
        <v>29432</v>
      </c>
      <c r="K899">
        <v>7107</v>
      </c>
      <c r="L899">
        <v>0</v>
      </c>
      <c r="M899" t="s">
        <v>20</v>
      </c>
      <c r="N899" t="str">
        <f>TEXT(Table1[[#This Row],[Order Date]],"MMMM")</f>
        <v>November</v>
      </c>
      <c r="O899">
        <f>YEAR(Table1[[#This Row],[Order Date]])</f>
        <v>2025</v>
      </c>
      <c r="P899" t="str">
        <f>"Q"&amp;ROUNDUP(MONTH(Table1[[#This Row],[Order Date]])/3,0)</f>
        <v>Q4</v>
      </c>
      <c r="Q899" s="3">
        <f>Table1[[#This Row],[Profit]]/Table1[[#This Row],[Sales]]</f>
        <v>0.24147186735525958</v>
      </c>
      <c r="R899" t="str">
        <f>IF(Table1[[#This Row],[Sales]]&lt;1000,"LOW",IF(Table1[[#This Row],[Sales]]&lt;5000,"MEDIUM","HIGH"))</f>
        <v>HIGH</v>
      </c>
      <c r="S899" s="2">
        <f>Table1[[#This Row],[Discount]]/100</f>
        <v>0</v>
      </c>
    </row>
    <row r="900" spans="1:19" x14ac:dyDescent="0.3">
      <c r="A900">
        <v>10899</v>
      </c>
      <c r="B900" s="1" t="s">
        <v>434</v>
      </c>
      <c r="C900" t="s">
        <v>315</v>
      </c>
      <c r="D900" t="s">
        <v>52</v>
      </c>
      <c r="E900" t="s">
        <v>53</v>
      </c>
      <c r="F900" t="s">
        <v>31</v>
      </c>
      <c r="G900" t="s">
        <v>38</v>
      </c>
      <c r="H900" t="s">
        <v>39</v>
      </c>
      <c r="I900">
        <v>6</v>
      </c>
      <c r="J900">
        <v>11542.5</v>
      </c>
      <c r="K900">
        <v>3399.36</v>
      </c>
      <c r="L900">
        <v>5</v>
      </c>
      <c r="M900" t="s">
        <v>28</v>
      </c>
      <c r="N900" t="str">
        <f>TEXT(Table1[[#This Row],[Order Date]],"MMMM")</f>
        <v>June</v>
      </c>
      <c r="O900">
        <f>YEAR(Table1[[#This Row],[Order Date]])</f>
        <v>2025</v>
      </c>
      <c r="P900" t="str">
        <f>"Q"&amp;ROUNDUP(MONTH(Table1[[#This Row],[Order Date]])/3,0)</f>
        <v>Q2</v>
      </c>
      <c r="Q900" s="3">
        <f>Table1[[#This Row],[Profit]]/Table1[[#This Row],[Sales]]</f>
        <v>0.29450812215724498</v>
      </c>
      <c r="R900" t="str">
        <f>IF(Table1[[#This Row],[Sales]]&lt;1000,"LOW",IF(Table1[[#This Row],[Sales]]&lt;5000,"MEDIUM","HIGH"))</f>
        <v>HIGH</v>
      </c>
      <c r="S900" s="2">
        <f>Table1[[#This Row],[Discount]]/100</f>
        <v>0.05</v>
      </c>
    </row>
    <row r="901" spans="1:19" x14ac:dyDescent="0.3">
      <c r="A901">
        <v>10900</v>
      </c>
      <c r="B901" s="1" t="s">
        <v>573</v>
      </c>
      <c r="C901" t="s">
        <v>177</v>
      </c>
      <c r="D901" t="s">
        <v>36</v>
      </c>
      <c r="E901" t="s">
        <v>37</v>
      </c>
      <c r="F901" t="s">
        <v>17</v>
      </c>
      <c r="G901" t="s">
        <v>75</v>
      </c>
      <c r="H901" t="s">
        <v>116</v>
      </c>
      <c r="I901">
        <v>6</v>
      </c>
      <c r="J901">
        <v>6492.3</v>
      </c>
      <c r="K901">
        <v>669.34</v>
      </c>
      <c r="L901">
        <v>5</v>
      </c>
      <c r="M901" t="s">
        <v>40</v>
      </c>
      <c r="N901" t="str">
        <f>TEXT(Table1[[#This Row],[Order Date]],"MMMM")</f>
        <v>October</v>
      </c>
      <c r="O901">
        <f>YEAR(Table1[[#This Row],[Order Date]])</f>
        <v>2025</v>
      </c>
      <c r="P901" t="str">
        <f>"Q"&amp;ROUNDUP(MONTH(Table1[[#This Row],[Order Date]])/3,0)</f>
        <v>Q4</v>
      </c>
      <c r="Q901" s="3">
        <f>Table1[[#This Row],[Profit]]/Table1[[#This Row],[Sales]]</f>
        <v>0.10309751551838332</v>
      </c>
      <c r="R901" t="str">
        <f>IF(Table1[[#This Row],[Sales]]&lt;1000,"LOW",IF(Table1[[#This Row],[Sales]]&lt;5000,"MEDIUM","HIGH"))</f>
        <v>HIGH</v>
      </c>
      <c r="S901" s="2">
        <f>Table1[[#This Row],[Discount]]/100</f>
        <v>0.05</v>
      </c>
    </row>
    <row r="902" spans="1:19" x14ac:dyDescent="0.3">
      <c r="A902">
        <v>10901</v>
      </c>
      <c r="B902" s="1" t="s">
        <v>543</v>
      </c>
      <c r="C902" t="s">
        <v>492</v>
      </c>
      <c r="D902" t="s">
        <v>36</v>
      </c>
      <c r="E902" t="s">
        <v>37</v>
      </c>
      <c r="F902" t="s">
        <v>25</v>
      </c>
      <c r="G902" t="s">
        <v>26</v>
      </c>
      <c r="H902" t="s">
        <v>27</v>
      </c>
      <c r="I902">
        <v>3</v>
      </c>
      <c r="J902">
        <v>568.79999999999995</v>
      </c>
      <c r="K902">
        <v>164.98</v>
      </c>
      <c r="L902">
        <v>20</v>
      </c>
      <c r="M902" t="s">
        <v>28</v>
      </c>
      <c r="N902" t="str">
        <f>TEXT(Table1[[#This Row],[Order Date]],"MMMM")</f>
        <v>July</v>
      </c>
      <c r="O902">
        <f>YEAR(Table1[[#This Row],[Order Date]])</f>
        <v>2025</v>
      </c>
      <c r="P902" t="str">
        <f>"Q"&amp;ROUNDUP(MONTH(Table1[[#This Row],[Order Date]])/3,0)</f>
        <v>Q3</v>
      </c>
      <c r="Q902" s="3">
        <f>Table1[[#This Row],[Profit]]/Table1[[#This Row],[Sales]]</f>
        <v>0.2900492264416315</v>
      </c>
      <c r="R902" t="str">
        <f>IF(Table1[[#This Row],[Sales]]&lt;1000,"LOW",IF(Table1[[#This Row],[Sales]]&lt;5000,"MEDIUM","HIGH"))</f>
        <v>LOW</v>
      </c>
      <c r="S902" s="2">
        <f>Table1[[#This Row],[Discount]]/100</f>
        <v>0.2</v>
      </c>
    </row>
    <row r="903" spans="1:19" x14ac:dyDescent="0.3">
      <c r="A903">
        <v>10902</v>
      </c>
      <c r="B903" s="1" t="s">
        <v>293</v>
      </c>
      <c r="C903" t="s">
        <v>366</v>
      </c>
      <c r="D903" t="s">
        <v>36</v>
      </c>
      <c r="E903" t="s">
        <v>37</v>
      </c>
      <c r="F903" t="s">
        <v>17</v>
      </c>
      <c r="G903" t="s">
        <v>18</v>
      </c>
      <c r="H903" t="s">
        <v>19</v>
      </c>
      <c r="I903">
        <v>3</v>
      </c>
      <c r="J903">
        <v>12924.75</v>
      </c>
      <c r="K903">
        <v>3698.29</v>
      </c>
      <c r="L903">
        <v>5</v>
      </c>
      <c r="M903" t="s">
        <v>20</v>
      </c>
      <c r="N903" t="str">
        <f>TEXT(Table1[[#This Row],[Order Date]],"MMMM")</f>
        <v>December</v>
      </c>
      <c r="O903">
        <f>YEAR(Table1[[#This Row],[Order Date]])</f>
        <v>2025</v>
      </c>
      <c r="P903" t="str">
        <f>"Q"&amp;ROUNDUP(MONTH(Table1[[#This Row],[Order Date]])/3,0)</f>
        <v>Q4</v>
      </c>
      <c r="Q903" s="3">
        <f>Table1[[#This Row],[Profit]]/Table1[[#This Row],[Sales]]</f>
        <v>0.28614015744985394</v>
      </c>
      <c r="R903" t="str">
        <f>IF(Table1[[#This Row],[Sales]]&lt;1000,"LOW",IF(Table1[[#This Row],[Sales]]&lt;5000,"MEDIUM","HIGH"))</f>
        <v>HIGH</v>
      </c>
      <c r="S903" s="2">
        <f>Table1[[#This Row],[Discount]]/100</f>
        <v>0.05</v>
      </c>
    </row>
    <row r="904" spans="1:19" x14ac:dyDescent="0.3">
      <c r="A904">
        <v>10903</v>
      </c>
      <c r="B904" s="1" t="s">
        <v>409</v>
      </c>
      <c r="C904" t="s">
        <v>330</v>
      </c>
      <c r="D904" t="s">
        <v>15</v>
      </c>
      <c r="E904" t="s">
        <v>16</v>
      </c>
      <c r="F904" t="s">
        <v>17</v>
      </c>
      <c r="G904" t="s">
        <v>75</v>
      </c>
      <c r="H904" t="s">
        <v>76</v>
      </c>
      <c r="I904">
        <v>2</v>
      </c>
      <c r="J904">
        <v>4068.8</v>
      </c>
      <c r="K904">
        <v>834.28</v>
      </c>
      <c r="L904">
        <v>20</v>
      </c>
      <c r="M904" t="s">
        <v>20</v>
      </c>
      <c r="N904" t="str">
        <f>TEXT(Table1[[#This Row],[Order Date]],"MMMM")</f>
        <v>January</v>
      </c>
      <c r="O904">
        <f>YEAR(Table1[[#This Row],[Order Date]])</f>
        <v>2025</v>
      </c>
      <c r="P904" t="str">
        <f>"Q"&amp;ROUNDUP(MONTH(Table1[[#This Row],[Order Date]])/3,0)</f>
        <v>Q1</v>
      </c>
      <c r="Q904" s="3">
        <f>Table1[[#This Row],[Profit]]/Table1[[#This Row],[Sales]]</f>
        <v>0.20504325599685411</v>
      </c>
      <c r="R904" t="str">
        <f>IF(Table1[[#This Row],[Sales]]&lt;1000,"LOW",IF(Table1[[#This Row],[Sales]]&lt;5000,"MEDIUM","HIGH"))</f>
        <v>MEDIUM</v>
      </c>
      <c r="S904" s="2">
        <f>Table1[[#This Row],[Discount]]/100</f>
        <v>0.2</v>
      </c>
    </row>
    <row r="905" spans="1:19" x14ac:dyDescent="0.3">
      <c r="A905">
        <v>10904</v>
      </c>
      <c r="B905" s="1" t="s">
        <v>465</v>
      </c>
      <c r="C905" t="s">
        <v>379</v>
      </c>
      <c r="D905" t="s">
        <v>60</v>
      </c>
      <c r="E905" t="s">
        <v>61</v>
      </c>
      <c r="F905" t="s">
        <v>17</v>
      </c>
      <c r="G905" t="s">
        <v>18</v>
      </c>
      <c r="H905" t="s">
        <v>19</v>
      </c>
      <c r="I905">
        <v>8</v>
      </c>
      <c r="J905">
        <v>29433.599999999999</v>
      </c>
      <c r="K905">
        <v>7175.12</v>
      </c>
      <c r="L905">
        <v>10</v>
      </c>
      <c r="M905" t="s">
        <v>40</v>
      </c>
      <c r="N905" t="str">
        <f>TEXT(Table1[[#This Row],[Order Date]],"MMMM")</f>
        <v>September</v>
      </c>
      <c r="O905">
        <f>YEAR(Table1[[#This Row],[Order Date]])</f>
        <v>2025</v>
      </c>
      <c r="P905" t="str">
        <f>"Q"&amp;ROUNDUP(MONTH(Table1[[#This Row],[Order Date]])/3,0)</f>
        <v>Q3</v>
      </c>
      <c r="Q905" s="3">
        <f>Table1[[#This Row],[Profit]]/Table1[[#This Row],[Sales]]</f>
        <v>0.24377310284844533</v>
      </c>
      <c r="R905" t="str">
        <f>IF(Table1[[#This Row],[Sales]]&lt;1000,"LOW",IF(Table1[[#This Row],[Sales]]&lt;5000,"MEDIUM","HIGH"))</f>
        <v>HIGH</v>
      </c>
      <c r="S905" s="2">
        <f>Table1[[#This Row],[Discount]]/100</f>
        <v>0.1</v>
      </c>
    </row>
    <row r="906" spans="1:19" x14ac:dyDescent="0.3">
      <c r="A906">
        <v>10905</v>
      </c>
      <c r="B906" s="1" t="s">
        <v>83</v>
      </c>
      <c r="C906" t="s">
        <v>180</v>
      </c>
      <c r="D906" t="s">
        <v>66</v>
      </c>
      <c r="E906" t="s">
        <v>16</v>
      </c>
      <c r="F906" t="s">
        <v>25</v>
      </c>
      <c r="G906" t="s">
        <v>95</v>
      </c>
      <c r="H906" t="s">
        <v>96</v>
      </c>
      <c r="I906">
        <v>5</v>
      </c>
      <c r="J906">
        <v>16207</v>
      </c>
      <c r="K906">
        <v>4281.66</v>
      </c>
      <c r="L906">
        <v>5</v>
      </c>
      <c r="M906" t="s">
        <v>45</v>
      </c>
      <c r="N906" t="str">
        <f>TEXT(Table1[[#This Row],[Order Date]],"MMMM")</f>
        <v>January</v>
      </c>
      <c r="O906">
        <f>YEAR(Table1[[#This Row],[Order Date]])</f>
        <v>2025</v>
      </c>
      <c r="P906" t="str">
        <f>"Q"&amp;ROUNDUP(MONTH(Table1[[#This Row],[Order Date]])/3,0)</f>
        <v>Q1</v>
      </c>
      <c r="Q906" s="3">
        <f>Table1[[#This Row],[Profit]]/Table1[[#This Row],[Sales]]</f>
        <v>0.26418584562226199</v>
      </c>
      <c r="R906" t="str">
        <f>IF(Table1[[#This Row],[Sales]]&lt;1000,"LOW",IF(Table1[[#This Row],[Sales]]&lt;5000,"MEDIUM","HIGH"))</f>
        <v>HIGH</v>
      </c>
      <c r="S906" s="2">
        <f>Table1[[#This Row],[Discount]]/100</f>
        <v>0.05</v>
      </c>
    </row>
    <row r="907" spans="1:19" x14ac:dyDescent="0.3">
      <c r="A907">
        <v>10906</v>
      </c>
      <c r="B907" s="1" t="s">
        <v>497</v>
      </c>
      <c r="C907" t="s">
        <v>385</v>
      </c>
      <c r="D907" t="s">
        <v>52</v>
      </c>
      <c r="E907" t="s">
        <v>53</v>
      </c>
      <c r="F907" t="s">
        <v>17</v>
      </c>
      <c r="G907" t="s">
        <v>75</v>
      </c>
      <c r="H907" t="s">
        <v>116</v>
      </c>
      <c r="I907">
        <v>5</v>
      </c>
      <c r="J907">
        <v>17461</v>
      </c>
      <c r="K907">
        <v>3969.65</v>
      </c>
      <c r="L907">
        <v>5</v>
      </c>
      <c r="M907" t="s">
        <v>20</v>
      </c>
      <c r="N907" t="str">
        <f>TEXT(Table1[[#This Row],[Order Date]],"MMMM")</f>
        <v>September</v>
      </c>
      <c r="O907">
        <f>YEAR(Table1[[#This Row],[Order Date]])</f>
        <v>2025</v>
      </c>
      <c r="P907" t="str">
        <f>"Q"&amp;ROUNDUP(MONTH(Table1[[#This Row],[Order Date]])/3,0)</f>
        <v>Q3</v>
      </c>
      <c r="Q907" s="3">
        <f>Table1[[#This Row],[Profit]]/Table1[[#This Row],[Sales]]</f>
        <v>0.22734379474256916</v>
      </c>
      <c r="R907" t="str">
        <f>IF(Table1[[#This Row],[Sales]]&lt;1000,"LOW",IF(Table1[[#This Row],[Sales]]&lt;5000,"MEDIUM","HIGH"))</f>
        <v>HIGH</v>
      </c>
      <c r="S907" s="2">
        <f>Table1[[#This Row],[Discount]]/100</f>
        <v>0.05</v>
      </c>
    </row>
    <row r="908" spans="1:19" x14ac:dyDescent="0.3">
      <c r="A908">
        <v>10907</v>
      </c>
      <c r="B908" s="1" t="s">
        <v>236</v>
      </c>
      <c r="C908" t="s">
        <v>556</v>
      </c>
      <c r="D908" t="s">
        <v>56</v>
      </c>
      <c r="E908" t="s">
        <v>57</v>
      </c>
      <c r="F908" t="s">
        <v>31</v>
      </c>
      <c r="G908" t="s">
        <v>124</v>
      </c>
      <c r="H908" t="s">
        <v>125</v>
      </c>
      <c r="I908">
        <v>2</v>
      </c>
      <c r="J908">
        <v>7151.4</v>
      </c>
      <c r="K908">
        <v>1605.78</v>
      </c>
      <c r="L908">
        <v>10</v>
      </c>
      <c r="M908" t="s">
        <v>45</v>
      </c>
      <c r="N908" t="str">
        <f>TEXT(Table1[[#This Row],[Order Date]],"MMMM")</f>
        <v>April</v>
      </c>
      <c r="O908">
        <f>YEAR(Table1[[#This Row],[Order Date]])</f>
        <v>2025</v>
      </c>
      <c r="P908" t="str">
        <f>"Q"&amp;ROUNDUP(MONTH(Table1[[#This Row],[Order Date]])/3,0)</f>
        <v>Q2</v>
      </c>
      <c r="Q908" s="3">
        <f>Table1[[#This Row],[Profit]]/Table1[[#This Row],[Sales]]</f>
        <v>0.22454064938333754</v>
      </c>
      <c r="R908" t="str">
        <f>IF(Table1[[#This Row],[Sales]]&lt;1000,"LOW",IF(Table1[[#This Row],[Sales]]&lt;5000,"MEDIUM","HIGH"))</f>
        <v>HIGH</v>
      </c>
      <c r="S908" s="2">
        <f>Table1[[#This Row],[Discount]]/100</f>
        <v>0.1</v>
      </c>
    </row>
    <row r="909" spans="1:19" x14ac:dyDescent="0.3">
      <c r="A909">
        <v>10908</v>
      </c>
      <c r="B909" s="1" t="s">
        <v>430</v>
      </c>
      <c r="C909" t="s">
        <v>103</v>
      </c>
      <c r="D909" t="s">
        <v>15</v>
      </c>
      <c r="E909" t="s">
        <v>16</v>
      </c>
      <c r="F909" t="s">
        <v>31</v>
      </c>
      <c r="G909" t="s">
        <v>124</v>
      </c>
      <c r="H909" t="s">
        <v>125</v>
      </c>
      <c r="I909">
        <v>6</v>
      </c>
      <c r="J909">
        <v>13503.3</v>
      </c>
      <c r="K909">
        <v>1850.69</v>
      </c>
      <c r="L909">
        <v>5</v>
      </c>
      <c r="M909" t="s">
        <v>45</v>
      </c>
      <c r="N909" t="str">
        <f>TEXT(Table1[[#This Row],[Order Date]],"MMMM")</f>
        <v>May</v>
      </c>
      <c r="O909">
        <f>YEAR(Table1[[#This Row],[Order Date]])</f>
        <v>2025</v>
      </c>
      <c r="P909" t="str">
        <f>"Q"&amp;ROUNDUP(MONTH(Table1[[#This Row],[Order Date]])/3,0)</f>
        <v>Q2</v>
      </c>
      <c r="Q909" s="3">
        <f>Table1[[#This Row],[Profit]]/Table1[[#This Row],[Sales]]</f>
        <v>0.13705464590137226</v>
      </c>
      <c r="R909" t="str">
        <f>IF(Table1[[#This Row],[Sales]]&lt;1000,"LOW",IF(Table1[[#This Row],[Sales]]&lt;5000,"MEDIUM","HIGH"))</f>
        <v>HIGH</v>
      </c>
      <c r="S909" s="2">
        <f>Table1[[#This Row],[Discount]]/100</f>
        <v>0.05</v>
      </c>
    </row>
    <row r="910" spans="1:19" x14ac:dyDescent="0.3">
      <c r="A910">
        <v>10909</v>
      </c>
      <c r="B910" s="1" t="s">
        <v>574</v>
      </c>
      <c r="C910" t="s">
        <v>489</v>
      </c>
      <c r="D910" t="s">
        <v>66</v>
      </c>
      <c r="E910" t="s">
        <v>16</v>
      </c>
      <c r="F910" t="s">
        <v>25</v>
      </c>
      <c r="G910" t="s">
        <v>26</v>
      </c>
      <c r="H910" t="s">
        <v>71</v>
      </c>
      <c r="I910">
        <v>1</v>
      </c>
      <c r="J910">
        <v>3958.4</v>
      </c>
      <c r="K910">
        <v>437.05</v>
      </c>
      <c r="L910">
        <v>20</v>
      </c>
      <c r="M910" t="s">
        <v>49</v>
      </c>
      <c r="N910" t="str">
        <f>TEXT(Table1[[#This Row],[Order Date]],"MMMM")</f>
        <v>January</v>
      </c>
      <c r="O910">
        <f>YEAR(Table1[[#This Row],[Order Date]])</f>
        <v>2025</v>
      </c>
      <c r="P910" t="str">
        <f>"Q"&amp;ROUNDUP(MONTH(Table1[[#This Row],[Order Date]])/3,0)</f>
        <v>Q1</v>
      </c>
      <c r="Q910" s="3">
        <f>Table1[[#This Row],[Profit]]/Table1[[#This Row],[Sales]]</f>
        <v>0.11041077202910267</v>
      </c>
      <c r="R910" t="str">
        <f>IF(Table1[[#This Row],[Sales]]&lt;1000,"LOW",IF(Table1[[#This Row],[Sales]]&lt;5000,"MEDIUM","HIGH"))</f>
        <v>MEDIUM</v>
      </c>
      <c r="S910" s="2">
        <f>Table1[[#This Row],[Discount]]/100</f>
        <v>0.2</v>
      </c>
    </row>
    <row r="911" spans="1:19" x14ac:dyDescent="0.3">
      <c r="A911">
        <v>10910</v>
      </c>
      <c r="B911" s="1" t="s">
        <v>430</v>
      </c>
      <c r="C911" t="s">
        <v>311</v>
      </c>
      <c r="D911" t="s">
        <v>52</v>
      </c>
      <c r="E911" t="s">
        <v>53</v>
      </c>
      <c r="F911" t="s">
        <v>31</v>
      </c>
      <c r="G911" t="s">
        <v>32</v>
      </c>
      <c r="H911" t="s">
        <v>33</v>
      </c>
      <c r="I911">
        <v>3</v>
      </c>
      <c r="J911">
        <v>9765.6</v>
      </c>
      <c r="K911">
        <v>2908.87</v>
      </c>
      <c r="L911">
        <v>20</v>
      </c>
      <c r="M911" t="s">
        <v>20</v>
      </c>
      <c r="N911" t="str">
        <f>TEXT(Table1[[#This Row],[Order Date]],"MMMM")</f>
        <v>May</v>
      </c>
      <c r="O911">
        <f>YEAR(Table1[[#This Row],[Order Date]])</f>
        <v>2025</v>
      </c>
      <c r="P911" t="str">
        <f>"Q"&amp;ROUNDUP(MONTH(Table1[[#This Row],[Order Date]])/3,0)</f>
        <v>Q2</v>
      </c>
      <c r="Q911" s="3">
        <f>Table1[[#This Row],[Profit]]/Table1[[#This Row],[Sales]]</f>
        <v>0.29786905054476936</v>
      </c>
      <c r="R911" t="str">
        <f>IF(Table1[[#This Row],[Sales]]&lt;1000,"LOW",IF(Table1[[#This Row],[Sales]]&lt;5000,"MEDIUM","HIGH"))</f>
        <v>HIGH</v>
      </c>
      <c r="S911" s="2">
        <f>Table1[[#This Row],[Discount]]/100</f>
        <v>0.2</v>
      </c>
    </row>
    <row r="912" spans="1:19" x14ac:dyDescent="0.3">
      <c r="A912">
        <v>10911</v>
      </c>
      <c r="B912" s="1" t="s">
        <v>336</v>
      </c>
      <c r="C912" t="s">
        <v>302</v>
      </c>
      <c r="D912" t="s">
        <v>23</v>
      </c>
      <c r="E912" t="s">
        <v>24</v>
      </c>
      <c r="F912" t="s">
        <v>31</v>
      </c>
      <c r="G912" t="s">
        <v>32</v>
      </c>
      <c r="H912" t="s">
        <v>33</v>
      </c>
      <c r="I912">
        <v>8</v>
      </c>
      <c r="J912">
        <v>29544</v>
      </c>
      <c r="K912">
        <v>7079.57</v>
      </c>
      <c r="L912">
        <v>0</v>
      </c>
      <c r="M912" t="s">
        <v>28</v>
      </c>
      <c r="N912" t="str">
        <f>TEXT(Table1[[#This Row],[Order Date]],"MMMM")</f>
        <v>February</v>
      </c>
      <c r="O912">
        <f>YEAR(Table1[[#This Row],[Order Date]])</f>
        <v>2025</v>
      </c>
      <c r="P912" t="str">
        <f>"Q"&amp;ROUNDUP(MONTH(Table1[[#This Row],[Order Date]])/3,0)</f>
        <v>Q1</v>
      </c>
      <c r="Q912" s="3">
        <f>Table1[[#This Row],[Profit]]/Table1[[#This Row],[Sales]]</f>
        <v>0.23962801245599782</v>
      </c>
      <c r="R912" t="str">
        <f>IF(Table1[[#This Row],[Sales]]&lt;1000,"LOW",IF(Table1[[#This Row],[Sales]]&lt;5000,"MEDIUM","HIGH"))</f>
        <v>HIGH</v>
      </c>
      <c r="S912" s="2">
        <f>Table1[[#This Row],[Discount]]/100</f>
        <v>0</v>
      </c>
    </row>
    <row r="913" spans="1:19" x14ac:dyDescent="0.3">
      <c r="A913">
        <v>10912</v>
      </c>
      <c r="B913" s="1" t="s">
        <v>262</v>
      </c>
      <c r="C913" t="s">
        <v>527</v>
      </c>
      <c r="D913" t="s">
        <v>66</v>
      </c>
      <c r="E913" t="s">
        <v>16</v>
      </c>
      <c r="F913" t="s">
        <v>31</v>
      </c>
      <c r="G913" t="s">
        <v>124</v>
      </c>
      <c r="H913" t="s">
        <v>125</v>
      </c>
      <c r="I913">
        <v>8</v>
      </c>
      <c r="J913">
        <v>20678.400000000001</v>
      </c>
      <c r="K913">
        <v>3153.25</v>
      </c>
      <c r="L913">
        <v>20</v>
      </c>
      <c r="M913" t="s">
        <v>28</v>
      </c>
      <c r="N913" t="str">
        <f>TEXT(Table1[[#This Row],[Order Date]],"MMMM")</f>
        <v>November</v>
      </c>
      <c r="O913">
        <f>YEAR(Table1[[#This Row],[Order Date]])</f>
        <v>2025</v>
      </c>
      <c r="P913" t="str">
        <f>"Q"&amp;ROUNDUP(MONTH(Table1[[#This Row],[Order Date]])/3,0)</f>
        <v>Q4</v>
      </c>
      <c r="Q913" s="3">
        <f>Table1[[#This Row],[Profit]]/Table1[[#This Row],[Sales]]</f>
        <v>0.15249003791395851</v>
      </c>
      <c r="R913" t="str">
        <f>IF(Table1[[#This Row],[Sales]]&lt;1000,"LOW",IF(Table1[[#This Row],[Sales]]&lt;5000,"MEDIUM","HIGH"))</f>
        <v>HIGH</v>
      </c>
      <c r="S913" s="2">
        <f>Table1[[#This Row],[Discount]]/100</f>
        <v>0.2</v>
      </c>
    </row>
    <row r="914" spans="1:19" x14ac:dyDescent="0.3">
      <c r="A914">
        <v>10913</v>
      </c>
      <c r="B914" s="1" t="s">
        <v>340</v>
      </c>
      <c r="C914" t="s">
        <v>51</v>
      </c>
      <c r="D914" t="s">
        <v>56</v>
      </c>
      <c r="E914" t="s">
        <v>57</v>
      </c>
      <c r="F914" t="s">
        <v>31</v>
      </c>
      <c r="G914" t="s">
        <v>32</v>
      </c>
      <c r="H914" t="s">
        <v>33</v>
      </c>
      <c r="I914">
        <v>6</v>
      </c>
      <c r="J914">
        <v>19211.7</v>
      </c>
      <c r="K914">
        <v>4973.82</v>
      </c>
      <c r="L914">
        <v>15</v>
      </c>
      <c r="M914" t="s">
        <v>28</v>
      </c>
      <c r="N914" t="str">
        <f>TEXT(Table1[[#This Row],[Order Date]],"MMMM")</f>
        <v>November</v>
      </c>
      <c r="O914">
        <f>YEAR(Table1[[#This Row],[Order Date]])</f>
        <v>2025</v>
      </c>
      <c r="P914" t="str">
        <f>"Q"&amp;ROUNDUP(MONTH(Table1[[#This Row],[Order Date]])/3,0)</f>
        <v>Q4</v>
      </c>
      <c r="Q914" s="3">
        <f>Table1[[#This Row],[Profit]]/Table1[[#This Row],[Sales]]</f>
        <v>0.25889536063961022</v>
      </c>
      <c r="R914" t="str">
        <f>IF(Table1[[#This Row],[Sales]]&lt;1000,"LOW",IF(Table1[[#This Row],[Sales]]&lt;5000,"MEDIUM","HIGH"))</f>
        <v>HIGH</v>
      </c>
      <c r="S914" s="2">
        <f>Table1[[#This Row],[Discount]]/100</f>
        <v>0.15</v>
      </c>
    </row>
    <row r="915" spans="1:19" x14ac:dyDescent="0.3">
      <c r="A915">
        <v>10914</v>
      </c>
      <c r="B915" s="1" t="s">
        <v>455</v>
      </c>
      <c r="C915" t="s">
        <v>158</v>
      </c>
      <c r="D915" t="s">
        <v>60</v>
      </c>
      <c r="E915" t="s">
        <v>61</v>
      </c>
      <c r="F915" t="s">
        <v>25</v>
      </c>
      <c r="G915" t="s">
        <v>26</v>
      </c>
      <c r="H915" t="s">
        <v>48</v>
      </c>
      <c r="I915">
        <v>5</v>
      </c>
      <c r="J915">
        <v>5044.5</v>
      </c>
      <c r="K915">
        <v>1252.9100000000001</v>
      </c>
      <c r="L915">
        <v>10</v>
      </c>
      <c r="M915" t="s">
        <v>20</v>
      </c>
      <c r="N915" t="str">
        <f>TEXT(Table1[[#This Row],[Order Date]],"MMMM")</f>
        <v>March</v>
      </c>
      <c r="O915">
        <f>YEAR(Table1[[#This Row],[Order Date]])</f>
        <v>2025</v>
      </c>
      <c r="P915" t="str">
        <f>"Q"&amp;ROUNDUP(MONTH(Table1[[#This Row],[Order Date]])/3,0)</f>
        <v>Q1</v>
      </c>
      <c r="Q915" s="3">
        <f>Table1[[#This Row],[Profit]]/Table1[[#This Row],[Sales]]</f>
        <v>0.24837149370601647</v>
      </c>
      <c r="R915" t="str">
        <f>IF(Table1[[#This Row],[Sales]]&lt;1000,"LOW",IF(Table1[[#This Row],[Sales]]&lt;5000,"MEDIUM","HIGH"))</f>
        <v>HIGH</v>
      </c>
      <c r="S915" s="2">
        <f>Table1[[#This Row],[Discount]]/100</f>
        <v>0.1</v>
      </c>
    </row>
    <row r="916" spans="1:19" x14ac:dyDescent="0.3">
      <c r="A916">
        <v>10915</v>
      </c>
      <c r="B916" s="1" t="s">
        <v>207</v>
      </c>
      <c r="C916" t="s">
        <v>417</v>
      </c>
      <c r="D916" t="s">
        <v>23</v>
      </c>
      <c r="E916" t="s">
        <v>24</v>
      </c>
      <c r="F916" t="s">
        <v>17</v>
      </c>
      <c r="G916" t="s">
        <v>43</v>
      </c>
      <c r="H916" t="s">
        <v>44</v>
      </c>
      <c r="I916">
        <v>6</v>
      </c>
      <c r="J916">
        <v>12301.2</v>
      </c>
      <c r="K916">
        <v>2507.7199999999998</v>
      </c>
      <c r="L916">
        <v>10</v>
      </c>
      <c r="M916" t="s">
        <v>45</v>
      </c>
      <c r="N916" t="str">
        <f>TEXT(Table1[[#This Row],[Order Date]],"MMMM")</f>
        <v>August</v>
      </c>
      <c r="O916">
        <f>YEAR(Table1[[#This Row],[Order Date]])</f>
        <v>2025</v>
      </c>
      <c r="P916" t="str">
        <f>"Q"&amp;ROUNDUP(MONTH(Table1[[#This Row],[Order Date]])/3,0)</f>
        <v>Q3</v>
      </c>
      <c r="Q916" s="3">
        <f>Table1[[#This Row],[Profit]]/Table1[[#This Row],[Sales]]</f>
        <v>0.20385978603713456</v>
      </c>
      <c r="R916" t="str">
        <f>IF(Table1[[#This Row],[Sales]]&lt;1000,"LOW",IF(Table1[[#This Row],[Sales]]&lt;5000,"MEDIUM","HIGH"))</f>
        <v>HIGH</v>
      </c>
      <c r="S916" s="2">
        <f>Table1[[#This Row],[Discount]]/100</f>
        <v>0.1</v>
      </c>
    </row>
    <row r="917" spans="1:19" x14ac:dyDescent="0.3">
      <c r="A917">
        <v>10916</v>
      </c>
      <c r="B917" s="1" t="s">
        <v>390</v>
      </c>
      <c r="C917" t="s">
        <v>144</v>
      </c>
      <c r="D917" t="s">
        <v>23</v>
      </c>
      <c r="E917" t="s">
        <v>24</v>
      </c>
      <c r="F917" t="s">
        <v>31</v>
      </c>
      <c r="G917" t="s">
        <v>89</v>
      </c>
      <c r="H917" t="s">
        <v>90</v>
      </c>
      <c r="I917">
        <v>7</v>
      </c>
      <c r="J917">
        <v>25436.25</v>
      </c>
      <c r="K917">
        <v>5762.56</v>
      </c>
      <c r="L917">
        <v>15</v>
      </c>
      <c r="M917" t="s">
        <v>40</v>
      </c>
      <c r="N917" t="str">
        <f>TEXT(Table1[[#This Row],[Order Date]],"MMMM")</f>
        <v>December</v>
      </c>
      <c r="O917">
        <f>YEAR(Table1[[#This Row],[Order Date]])</f>
        <v>2025</v>
      </c>
      <c r="P917" t="str">
        <f>"Q"&amp;ROUNDUP(MONTH(Table1[[#This Row],[Order Date]])/3,0)</f>
        <v>Q4</v>
      </c>
      <c r="Q917" s="3">
        <f>Table1[[#This Row],[Profit]]/Table1[[#This Row],[Sales]]</f>
        <v>0.22654911789277116</v>
      </c>
      <c r="R917" t="str">
        <f>IF(Table1[[#This Row],[Sales]]&lt;1000,"LOW",IF(Table1[[#This Row],[Sales]]&lt;5000,"MEDIUM","HIGH"))</f>
        <v>HIGH</v>
      </c>
      <c r="S917" s="2">
        <f>Table1[[#This Row],[Discount]]/100</f>
        <v>0.15</v>
      </c>
    </row>
    <row r="918" spans="1:19" x14ac:dyDescent="0.3">
      <c r="A918">
        <v>10917</v>
      </c>
      <c r="B918" s="1" t="s">
        <v>185</v>
      </c>
      <c r="C918" t="s">
        <v>258</v>
      </c>
      <c r="D918" t="s">
        <v>60</v>
      </c>
      <c r="E918" t="s">
        <v>61</v>
      </c>
      <c r="F918" t="s">
        <v>31</v>
      </c>
      <c r="G918" t="s">
        <v>32</v>
      </c>
      <c r="H918" t="s">
        <v>33</v>
      </c>
      <c r="I918">
        <v>4</v>
      </c>
      <c r="J918">
        <v>2663.8</v>
      </c>
      <c r="K918">
        <v>259.89999999999998</v>
      </c>
      <c r="L918">
        <v>5</v>
      </c>
      <c r="M918" t="s">
        <v>40</v>
      </c>
      <c r="N918" t="str">
        <f>TEXT(Table1[[#This Row],[Order Date]],"MMMM")</f>
        <v>December</v>
      </c>
      <c r="O918">
        <f>YEAR(Table1[[#This Row],[Order Date]])</f>
        <v>2025</v>
      </c>
      <c r="P918" t="str">
        <f>"Q"&amp;ROUNDUP(MONTH(Table1[[#This Row],[Order Date]])/3,0)</f>
        <v>Q4</v>
      </c>
      <c r="Q918" s="3">
        <f>Table1[[#This Row],[Profit]]/Table1[[#This Row],[Sales]]</f>
        <v>9.7567384938809204E-2</v>
      </c>
      <c r="R918" t="str">
        <f>IF(Table1[[#This Row],[Sales]]&lt;1000,"LOW",IF(Table1[[#This Row],[Sales]]&lt;5000,"MEDIUM","HIGH"))</f>
        <v>MEDIUM</v>
      </c>
      <c r="S918" s="2">
        <f>Table1[[#This Row],[Discount]]/100</f>
        <v>0.05</v>
      </c>
    </row>
    <row r="919" spans="1:19" x14ac:dyDescent="0.3">
      <c r="A919">
        <v>10918</v>
      </c>
      <c r="B919" s="1" t="s">
        <v>41</v>
      </c>
      <c r="C919" t="s">
        <v>241</v>
      </c>
      <c r="D919" t="s">
        <v>56</v>
      </c>
      <c r="E919" t="s">
        <v>57</v>
      </c>
      <c r="F919" t="s">
        <v>17</v>
      </c>
      <c r="G919" t="s">
        <v>75</v>
      </c>
      <c r="H919" t="s">
        <v>116</v>
      </c>
      <c r="I919">
        <v>6</v>
      </c>
      <c r="J919">
        <v>24798</v>
      </c>
      <c r="K919">
        <v>3248.61</v>
      </c>
      <c r="L919">
        <v>0</v>
      </c>
      <c r="M919" t="s">
        <v>20</v>
      </c>
      <c r="N919" t="str">
        <f>TEXT(Table1[[#This Row],[Order Date]],"MMMM")</f>
        <v>April</v>
      </c>
      <c r="O919">
        <f>YEAR(Table1[[#This Row],[Order Date]])</f>
        <v>2025</v>
      </c>
      <c r="P919" t="str">
        <f>"Q"&amp;ROUNDUP(MONTH(Table1[[#This Row],[Order Date]])/3,0)</f>
        <v>Q2</v>
      </c>
      <c r="Q919" s="3">
        <f>Table1[[#This Row],[Profit]]/Table1[[#This Row],[Sales]]</f>
        <v>0.13100290345995647</v>
      </c>
      <c r="R919" t="str">
        <f>IF(Table1[[#This Row],[Sales]]&lt;1000,"LOW",IF(Table1[[#This Row],[Sales]]&lt;5000,"MEDIUM","HIGH"))</f>
        <v>HIGH</v>
      </c>
      <c r="S919" s="2">
        <f>Table1[[#This Row],[Discount]]/100</f>
        <v>0</v>
      </c>
    </row>
    <row r="920" spans="1:19" x14ac:dyDescent="0.3">
      <c r="A920">
        <v>10919</v>
      </c>
      <c r="B920" s="1" t="s">
        <v>164</v>
      </c>
      <c r="C920" t="s">
        <v>228</v>
      </c>
      <c r="D920" t="s">
        <v>66</v>
      </c>
      <c r="E920" t="s">
        <v>16</v>
      </c>
      <c r="F920" t="s">
        <v>25</v>
      </c>
      <c r="G920" t="s">
        <v>95</v>
      </c>
      <c r="H920" t="s">
        <v>96</v>
      </c>
      <c r="I920">
        <v>4</v>
      </c>
      <c r="J920">
        <v>18570.599999999999</v>
      </c>
      <c r="K920">
        <v>3383.3</v>
      </c>
      <c r="L920">
        <v>5</v>
      </c>
      <c r="M920" t="s">
        <v>45</v>
      </c>
      <c r="N920" t="str">
        <f>TEXT(Table1[[#This Row],[Order Date]],"MMMM")</f>
        <v>October</v>
      </c>
      <c r="O920">
        <f>YEAR(Table1[[#This Row],[Order Date]])</f>
        <v>2025</v>
      </c>
      <c r="P920" t="str">
        <f>"Q"&amp;ROUNDUP(MONTH(Table1[[#This Row],[Order Date]])/3,0)</f>
        <v>Q4</v>
      </c>
      <c r="Q920" s="3">
        <f>Table1[[#This Row],[Profit]]/Table1[[#This Row],[Sales]]</f>
        <v>0.18218582059814978</v>
      </c>
      <c r="R920" t="str">
        <f>IF(Table1[[#This Row],[Sales]]&lt;1000,"LOW",IF(Table1[[#This Row],[Sales]]&lt;5000,"MEDIUM","HIGH"))</f>
        <v>HIGH</v>
      </c>
      <c r="S920" s="2">
        <f>Table1[[#This Row],[Discount]]/100</f>
        <v>0.05</v>
      </c>
    </row>
    <row r="921" spans="1:19" x14ac:dyDescent="0.3">
      <c r="A921">
        <v>10920</v>
      </c>
      <c r="B921" s="1" t="s">
        <v>557</v>
      </c>
      <c r="C921" t="s">
        <v>412</v>
      </c>
      <c r="D921" t="s">
        <v>15</v>
      </c>
      <c r="E921" t="s">
        <v>16</v>
      </c>
      <c r="F921" t="s">
        <v>31</v>
      </c>
      <c r="G921" t="s">
        <v>32</v>
      </c>
      <c r="H921" t="s">
        <v>33</v>
      </c>
      <c r="I921">
        <v>1</v>
      </c>
      <c r="J921">
        <v>3232</v>
      </c>
      <c r="K921">
        <v>526.66</v>
      </c>
      <c r="L921">
        <v>0</v>
      </c>
      <c r="M921" t="s">
        <v>40</v>
      </c>
      <c r="N921" t="str">
        <f>TEXT(Table1[[#This Row],[Order Date]],"MMMM")</f>
        <v>October</v>
      </c>
      <c r="O921">
        <f>YEAR(Table1[[#This Row],[Order Date]])</f>
        <v>2025</v>
      </c>
      <c r="P921" t="str">
        <f>"Q"&amp;ROUNDUP(MONTH(Table1[[#This Row],[Order Date]])/3,0)</f>
        <v>Q4</v>
      </c>
      <c r="Q921" s="3">
        <f>Table1[[#This Row],[Profit]]/Table1[[#This Row],[Sales]]</f>
        <v>0.16295173267326732</v>
      </c>
      <c r="R921" t="str">
        <f>IF(Table1[[#This Row],[Sales]]&lt;1000,"LOW",IF(Table1[[#This Row],[Sales]]&lt;5000,"MEDIUM","HIGH"))</f>
        <v>MEDIUM</v>
      </c>
      <c r="S921" s="2">
        <f>Table1[[#This Row],[Discount]]/100</f>
        <v>0</v>
      </c>
    </row>
    <row r="922" spans="1:19" x14ac:dyDescent="0.3">
      <c r="A922">
        <v>10921</v>
      </c>
      <c r="B922" s="1" t="s">
        <v>546</v>
      </c>
      <c r="C922" t="s">
        <v>241</v>
      </c>
      <c r="D922" t="s">
        <v>15</v>
      </c>
      <c r="E922" t="s">
        <v>16</v>
      </c>
      <c r="F922" t="s">
        <v>31</v>
      </c>
      <c r="G922" t="s">
        <v>32</v>
      </c>
      <c r="H922" t="s">
        <v>33</v>
      </c>
      <c r="I922">
        <v>6</v>
      </c>
      <c r="J922">
        <v>5411.1</v>
      </c>
      <c r="K922">
        <v>826.81</v>
      </c>
      <c r="L922">
        <v>15</v>
      </c>
      <c r="M922" t="s">
        <v>20</v>
      </c>
      <c r="N922" t="str">
        <f>TEXT(Table1[[#This Row],[Order Date]],"MMMM")</f>
        <v>April</v>
      </c>
      <c r="O922">
        <f>YEAR(Table1[[#This Row],[Order Date]])</f>
        <v>2025</v>
      </c>
      <c r="P922" t="str">
        <f>"Q"&amp;ROUNDUP(MONTH(Table1[[#This Row],[Order Date]])/3,0)</f>
        <v>Q2</v>
      </c>
      <c r="Q922" s="3">
        <f>Table1[[#This Row],[Profit]]/Table1[[#This Row],[Sales]]</f>
        <v>0.15279887638372971</v>
      </c>
      <c r="R922" t="str">
        <f>IF(Table1[[#This Row],[Sales]]&lt;1000,"LOW",IF(Table1[[#This Row],[Sales]]&lt;5000,"MEDIUM","HIGH"))</f>
        <v>HIGH</v>
      </c>
      <c r="S922" s="2">
        <f>Table1[[#This Row],[Discount]]/100</f>
        <v>0.15</v>
      </c>
    </row>
    <row r="923" spans="1:19" x14ac:dyDescent="0.3">
      <c r="A923">
        <v>10922</v>
      </c>
      <c r="B923" s="1" t="s">
        <v>190</v>
      </c>
      <c r="C923" t="s">
        <v>208</v>
      </c>
      <c r="D923" t="s">
        <v>23</v>
      </c>
      <c r="E923" t="s">
        <v>24</v>
      </c>
      <c r="F923" t="s">
        <v>17</v>
      </c>
      <c r="G923" t="s">
        <v>75</v>
      </c>
      <c r="H923" t="s">
        <v>76</v>
      </c>
      <c r="I923">
        <v>1</v>
      </c>
      <c r="J923">
        <v>462.4</v>
      </c>
      <c r="K923">
        <v>58.62</v>
      </c>
      <c r="L923">
        <v>15</v>
      </c>
      <c r="M923" t="s">
        <v>28</v>
      </c>
      <c r="N923" t="str">
        <f>TEXT(Table1[[#This Row],[Order Date]],"MMMM")</f>
        <v>September</v>
      </c>
      <c r="O923">
        <f>YEAR(Table1[[#This Row],[Order Date]])</f>
        <v>2025</v>
      </c>
      <c r="P923" t="str">
        <f>"Q"&amp;ROUNDUP(MONTH(Table1[[#This Row],[Order Date]])/3,0)</f>
        <v>Q3</v>
      </c>
      <c r="Q923" s="3">
        <f>Table1[[#This Row],[Profit]]/Table1[[#This Row],[Sales]]</f>
        <v>0.1267733564013841</v>
      </c>
      <c r="R923" t="str">
        <f>IF(Table1[[#This Row],[Sales]]&lt;1000,"LOW",IF(Table1[[#This Row],[Sales]]&lt;5000,"MEDIUM","HIGH"))</f>
        <v>LOW</v>
      </c>
      <c r="S923" s="2">
        <f>Table1[[#This Row],[Discount]]/100</f>
        <v>0.15</v>
      </c>
    </row>
    <row r="924" spans="1:19" x14ac:dyDescent="0.3">
      <c r="A924">
        <v>10923</v>
      </c>
      <c r="B924" s="1" t="s">
        <v>262</v>
      </c>
      <c r="C924" t="s">
        <v>113</v>
      </c>
      <c r="D924" t="s">
        <v>66</v>
      </c>
      <c r="E924" t="s">
        <v>16</v>
      </c>
      <c r="F924" t="s">
        <v>31</v>
      </c>
      <c r="G924" t="s">
        <v>32</v>
      </c>
      <c r="H924" t="s">
        <v>33</v>
      </c>
      <c r="I924">
        <v>4</v>
      </c>
      <c r="J924">
        <v>14595.8</v>
      </c>
      <c r="K924">
        <v>2961.91</v>
      </c>
      <c r="L924">
        <v>5</v>
      </c>
      <c r="M924" t="s">
        <v>40</v>
      </c>
      <c r="N924" t="str">
        <f>TEXT(Table1[[#This Row],[Order Date]],"MMMM")</f>
        <v>November</v>
      </c>
      <c r="O924">
        <f>YEAR(Table1[[#This Row],[Order Date]])</f>
        <v>2025</v>
      </c>
      <c r="P924" t="str">
        <f>"Q"&amp;ROUNDUP(MONTH(Table1[[#This Row],[Order Date]])/3,0)</f>
        <v>Q4</v>
      </c>
      <c r="Q924" s="3">
        <f>Table1[[#This Row],[Profit]]/Table1[[#This Row],[Sales]]</f>
        <v>0.20292892475917729</v>
      </c>
      <c r="R924" t="str">
        <f>IF(Table1[[#This Row],[Sales]]&lt;1000,"LOW",IF(Table1[[#This Row],[Sales]]&lt;5000,"MEDIUM","HIGH"))</f>
        <v>HIGH</v>
      </c>
      <c r="S924" s="2">
        <f>Table1[[#This Row],[Discount]]/100</f>
        <v>0.05</v>
      </c>
    </row>
    <row r="925" spans="1:19" x14ac:dyDescent="0.3">
      <c r="A925">
        <v>10924</v>
      </c>
      <c r="B925" s="1" t="s">
        <v>312</v>
      </c>
      <c r="C925" t="s">
        <v>169</v>
      </c>
      <c r="D925" t="s">
        <v>56</v>
      </c>
      <c r="E925" t="s">
        <v>57</v>
      </c>
      <c r="F925" t="s">
        <v>31</v>
      </c>
      <c r="G925" t="s">
        <v>124</v>
      </c>
      <c r="H925" t="s">
        <v>125</v>
      </c>
      <c r="I925">
        <v>8</v>
      </c>
      <c r="J925">
        <v>17142.8</v>
      </c>
      <c r="K925">
        <v>3782.41</v>
      </c>
      <c r="L925">
        <v>15</v>
      </c>
      <c r="M925" t="s">
        <v>45</v>
      </c>
      <c r="N925" t="str">
        <f>TEXT(Table1[[#This Row],[Order Date]],"MMMM")</f>
        <v>August</v>
      </c>
      <c r="O925">
        <f>YEAR(Table1[[#This Row],[Order Date]])</f>
        <v>2025</v>
      </c>
      <c r="P925" t="str">
        <f>"Q"&amp;ROUNDUP(MONTH(Table1[[#This Row],[Order Date]])/3,0)</f>
        <v>Q3</v>
      </c>
      <c r="Q925" s="3">
        <f>Table1[[#This Row],[Profit]]/Table1[[#This Row],[Sales]]</f>
        <v>0.22064131880439602</v>
      </c>
      <c r="R925" t="str">
        <f>IF(Table1[[#This Row],[Sales]]&lt;1000,"LOW",IF(Table1[[#This Row],[Sales]]&lt;5000,"MEDIUM","HIGH"))</f>
        <v>HIGH</v>
      </c>
      <c r="S925" s="2">
        <f>Table1[[#This Row],[Discount]]/100</f>
        <v>0.15</v>
      </c>
    </row>
    <row r="926" spans="1:19" x14ac:dyDescent="0.3">
      <c r="A926">
        <v>10925</v>
      </c>
      <c r="B926" s="1" t="s">
        <v>282</v>
      </c>
      <c r="C926" t="s">
        <v>337</v>
      </c>
      <c r="D926" t="s">
        <v>23</v>
      </c>
      <c r="E926" t="s">
        <v>24</v>
      </c>
      <c r="F926" t="s">
        <v>31</v>
      </c>
      <c r="G926" t="s">
        <v>89</v>
      </c>
      <c r="H926" t="s">
        <v>90</v>
      </c>
      <c r="I926">
        <v>3</v>
      </c>
      <c r="J926">
        <v>9556.0499999999993</v>
      </c>
      <c r="K926">
        <v>2032.75</v>
      </c>
      <c r="L926">
        <v>5</v>
      </c>
      <c r="M926" t="s">
        <v>49</v>
      </c>
      <c r="N926" t="str">
        <f>TEXT(Table1[[#This Row],[Order Date]],"MMMM")</f>
        <v>May</v>
      </c>
      <c r="O926">
        <f>YEAR(Table1[[#This Row],[Order Date]])</f>
        <v>2025</v>
      </c>
      <c r="P926" t="str">
        <f>"Q"&amp;ROUNDUP(MONTH(Table1[[#This Row],[Order Date]])/3,0)</f>
        <v>Q2</v>
      </c>
      <c r="Q926" s="3">
        <f>Table1[[#This Row],[Profit]]/Table1[[#This Row],[Sales]]</f>
        <v>0.21271864420968917</v>
      </c>
      <c r="R926" t="str">
        <f>IF(Table1[[#This Row],[Sales]]&lt;1000,"LOW",IF(Table1[[#This Row],[Sales]]&lt;5000,"MEDIUM","HIGH"))</f>
        <v>HIGH</v>
      </c>
      <c r="S926" s="2">
        <f>Table1[[#This Row],[Discount]]/100</f>
        <v>0.05</v>
      </c>
    </row>
    <row r="927" spans="1:19" x14ac:dyDescent="0.3">
      <c r="A927">
        <v>10926</v>
      </c>
      <c r="B927" s="1" t="s">
        <v>204</v>
      </c>
      <c r="C927" t="s">
        <v>428</v>
      </c>
      <c r="D927" t="s">
        <v>36</v>
      </c>
      <c r="E927" t="s">
        <v>37</v>
      </c>
      <c r="F927" t="s">
        <v>31</v>
      </c>
      <c r="G927" t="s">
        <v>89</v>
      </c>
      <c r="H927" t="s">
        <v>90</v>
      </c>
      <c r="I927">
        <v>5</v>
      </c>
      <c r="J927">
        <v>9101</v>
      </c>
      <c r="K927">
        <v>1339.67</v>
      </c>
      <c r="L927">
        <v>5</v>
      </c>
      <c r="M927" t="s">
        <v>40</v>
      </c>
      <c r="N927" t="str">
        <f>TEXT(Table1[[#This Row],[Order Date]],"MMMM")</f>
        <v>December</v>
      </c>
      <c r="O927">
        <f>YEAR(Table1[[#This Row],[Order Date]])</f>
        <v>2025</v>
      </c>
      <c r="P927" t="str">
        <f>"Q"&amp;ROUNDUP(MONTH(Table1[[#This Row],[Order Date]])/3,0)</f>
        <v>Q4</v>
      </c>
      <c r="Q927" s="3">
        <f>Table1[[#This Row],[Profit]]/Table1[[#This Row],[Sales]]</f>
        <v>0.14720030765849906</v>
      </c>
      <c r="R927" t="str">
        <f>IF(Table1[[#This Row],[Sales]]&lt;1000,"LOW",IF(Table1[[#This Row],[Sales]]&lt;5000,"MEDIUM","HIGH"))</f>
        <v>HIGH</v>
      </c>
      <c r="S927" s="2">
        <f>Table1[[#This Row],[Discount]]/100</f>
        <v>0.05</v>
      </c>
    </row>
    <row r="928" spans="1:19" x14ac:dyDescent="0.3">
      <c r="A928">
        <v>10927</v>
      </c>
      <c r="B928" s="1" t="s">
        <v>293</v>
      </c>
      <c r="C928" t="s">
        <v>129</v>
      </c>
      <c r="D928" t="s">
        <v>52</v>
      </c>
      <c r="E928" t="s">
        <v>53</v>
      </c>
      <c r="F928" t="s">
        <v>25</v>
      </c>
      <c r="G928" t="s">
        <v>95</v>
      </c>
      <c r="H928" t="s">
        <v>96</v>
      </c>
      <c r="I928">
        <v>8</v>
      </c>
      <c r="J928">
        <v>12251.2</v>
      </c>
      <c r="K928">
        <v>1710.78</v>
      </c>
      <c r="L928">
        <v>5</v>
      </c>
      <c r="M928" t="s">
        <v>20</v>
      </c>
      <c r="N928" t="str">
        <f>TEXT(Table1[[#This Row],[Order Date]],"MMMM")</f>
        <v>December</v>
      </c>
      <c r="O928">
        <f>YEAR(Table1[[#This Row],[Order Date]])</f>
        <v>2025</v>
      </c>
      <c r="P928" t="str">
        <f>"Q"&amp;ROUNDUP(MONTH(Table1[[#This Row],[Order Date]])/3,0)</f>
        <v>Q4</v>
      </c>
      <c r="Q928" s="3">
        <f>Table1[[#This Row],[Profit]]/Table1[[#This Row],[Sales]]</f>
        <v>0.13964183100430977</v>
      </c>
      <c r="R928" t="str">
        <f>IF(Table1[[#This Row],[Sales]]&lt;1000,"LOW",IF(Table1[[#This Row],[Sales]]&lt;5000,"MEDIUM","HIGH"))</f>
        <v>HIGH</v>
      </c>
      <c r="S928" s="2">
        <f>Table1[[#This Row],[Discount]]/100</f>
        <v>0.05</v>
      </c>
    </row>
    <row r="929" spans="1:19" x14ac:dyDescent="0.3">
      <c r="A929">
        <v>10928</v>
      </c>
      <c r="B929" s="1" t="s">
        <v>401</v>
      </c>
      <c r="C929" t="s">
        <v>301</v>
      </c>
      <c r="D929" t="s">
        <v>23</v>
      </c>
      <c r="E929" t="s">
        <v>24</v>
      </c>
      <c r="F929" t="s">
        <v>17</v>
      </c>
      <c r="G929" t="s">
        <v>43</v>
      </c>
      <c r="H929" t="s">
        <v>44</v>
      </c>
      <c r="I929">
        <v>3</v>
      </c>
      <c r="J929">
        <v>9436.35</v>
      </c>
      <c r="K929">
        <v>1273.21</v>
      </c>
      <c r="L929">
        <v>5</v>
      </c>
      <c r="M929" t="s">
        <v>20</v>
      </c>
      <c r="N929" t="str">
        <f>TEXT(Table1[[#This Row],[Order Date]],"MMMM")</f>
        <v>September</v>
      </c>
      <c r="O929">
        <f>YEAR(Table1[[#This Row],[Order Date]])</f>
        <v>2025</v>
      </c>
      <c r="P929" t="str">
        <f>"Q"&amp;ROUNDUP(MONTH(Table1[[#This Row],[Order Date]])/3,0)</f>
        <v>Q3</v>
      </c>
      <c r="Q929" s="3">
        <f>Table1[[#This Row],[Profit]]/Table1[[#This Row],[Sales]]</f>
        <v>0.13492611020150799</v>
      </c>
      <c r="R929" t="str">
        <f>IF(Table1[[#This Row],[Sales]]&lt;1000,"LOW",IF(Table1[[#This Row],[Sales]]&lt;5000,"MEDIUM","HIGH"))</f>
        <v>HIGH</v>
      </c>
      <c r="S929" s="2">
        <f>Table1[[#This Row],[Discount]]/100</f>
        <v>0.05</v>
      </c>
    </row>
    <row r="930" spans="1:19" x14ac:dyDescent="0.3">
      <c r="A930">
        <v>10929</v>
      </c>
      <c r="B930" s="1" t="s">
        <v>521</v>
      </c>
      <c r="C930" t="s">
        <v>98</v>
      </c>
      <c r="D930" t="s">
        <v>23</v>
      </c>
      <c r="E930" t="s">
        <v>24</v>
      </c>
      <c r="F930" t="s">
        <v>25</v>
      </c>
      <c r="G930" t="s">
        <v>26</v>
      </c>
      <c r="H930" t="s">
        <v>71</v>
      </c>
      <c r="I930">
        <v>5</v>
      </c>
      <c r="J930">
        <v>20264</v>
      </c>
      <c r="K930">
        <v>4915.6499999999996</v>
      </c>
      <c r="L930">
        <v>15</v>
      </c>
      <c r="M930" t="s">
        <v>49</v>
      </c>
      <c r="N930" t="str">
        <f>TEXT(Table1[[#This Row],[Order Date]],"MMMM")</f>
        <v>April</v>
      </c>
      <c r="O930">
        <f>YEAR(Table1[[#This Row],[Order Date]])</f>
        <v>2025</v>
      </c>
      <c r="P930" t="str">
        <f>"Q"&amp;ROUNDUP(MONTH(Table1[[#This Row],[Order Date]])/3,0)</f>
        <v>Q2</v>
      </c>
      <c r="Q930" s="3">
        <f>Table1[[#This Row],[Profit]]/Table1[[#This Row],[Sales]]</f>
        <v>0.24258043821555467</v>
      </c>
      <c r="R930" t="str">
        <f>IF(Table1[[#This Row],[Sales]]&lt;1000,"LOW",IF(Table1[[#This Row],[Sales]]&lt;5000,"MEDIUM","HIGH"))</f>
        <v>HIGH</v>
      </c>
      <c r="S930" s="2">
        <f>Table1[[#This Row],[Discount]]/100</f>
        <v>0.15</v>
      </c>
    </row>
    <row r="931" spans="1:19" x14ac:dyDescent="0.3">
      <c r="A931">
        <v>10930</v>
      </c>
      <c r="B931" s="1" t="s">
        <v>409</v>
      </c>
      <c r="C931" t="s">
        <v>214</v>
      </c>
      <c r="D931" t="s">
        <v>74</v>
      </c>
      <c r="E931" t="s">
        <v>74</v>
      </c>
      <c r="F931" t="s">
        <v>25</v>
      </c>
      <c r="G931" t="s">
        <v>26</v>
      </c>
      <c r="H931" t="s">
        <v>71</v>
      </c>
      <c r="I931">
        <v>8</v>
      </c>
      <c r="J931">
        <v>22678.400000000001</v>
      </c>
      <c r="K931">
        <v>5085.12</v>
      </c>
      <c r="L931">
        <v>5</v>
      </c>
      <c r="M931" t="s">
        <v>49</v>
      </c>
      <c r="N931" t="str">
        <f>TEXT(Table1[[#This Row],[Order Date]],"MMMM")</f>
        <v>January</v>
      </c>
      <c r="O931">
        <f>YEAR(Table1[[#This Row],[Order Date]])</f>
        <v>2025</v>
      </c>
      <c r="P931" t="str">
        <f>"Q"&amp;ROUNDUP(MONTH(Table1[[#This Row],[Order Date]])/3,0)</f>
        <v>Q1</v>
      </c>
      <c r="Q931" s="3">
        <f>Table1[[#This Row],[Profit]]/Table1[[#This Row],[Sales]]</f>
        <v>0.22422745872724706</v>
      </c>
      <c r="R931" t="str">
        <f>IF(Table1[[#This Row],[Sales]]&lt;1000,"LOW",IF(Table1[[#This Row],[Sales]]&lt;5000,"MEDIUM","HIGH"))</f>
        <v>HIGH</v>
      </c>
      <c r="S931" s="2">
        <f>Table1[[#This Row],[Discount]]/100</f>
        <v>0.05</v>
      </c>
    </row>
    <row r="932" spans="1:19" x14ac:dyDescent="0.3">
      <c r="A932">
        <v>10931</v>
      </c>
      <c r="B932" s="1" t="s">
        <v>318</v>
      </c>
      <c r="C932" t="s">
        <v>349</v>
      </c>
      <c r="D932" t="s">
        <v>60</v>
      </c>
      <c r="E932" t="s">
        <v>61</v>
      </c>
      <c r="F932" t="s">
        <v>17</v>
      </c>
      <c r="G932" t="s">
        <v>75</v>
      </c>
      <c r="H932" t="s">
        <v>76</v>
      </c>
      <c r="I932">
        <v>5</v>
      </c>
      <c r="J932">
        <v>20535</v>
      </c>
      <c r="K932">
        <v>5867.39</v>
      </c>
      <c r="L932">
        <v>0</v>
      </c>
      <c r="M932" t="s">
        <v>28</v>
      </c>
      <c r="N932" t="str">
        <f>TEXT(Table1[[#This Row],[Order Date]],"MMMM")</f>
        <v>January</v>
      </c>
      <c r="O932">
        <f>YEAR(Table1[[#This Row],[Order Date]])</f>
        <v>2025</v>
      </c>
      <c r="P932" t="str">
        <f>"Q"&amp;ROUNDUP(MONTH(Table1[[#This Row],[Order Date]])/3,0)</f>
        <v>Q1</v>
      </c>
      <c r="Q932" s="3">
        <f>Table1[[#This Row],[Profit]]/Table1[[#This Row],[Sales]]</f>
        <v>0.28572632091551015</v>
      </c>
      <c r="R932" t="str">
        <f>IF(Table1[[#This Row],[Sales]]&lt;1000,"LOW",IF(Table1[[#This Row],[Sales]]&lt;5000,"MEDIUM","HIGH"))</f>
        <v>HIGH</v>
      </c>
      <c r="S932" s="2">
        <f>Table1[[#This Row],[Discount]]/100</f>
        <v>0</v>
      </c>
    </row>
    <row r="933" spans="1:19" x14ac:dyDescent="0.3">
      <c r="A933">
        <v>10932</v>
      </c>
      <c r="B933" s="1" t="s">
        <v>497</v>
      </c>
      <c r="C933" t="s">
        <v>443</v>
      </c>
      <c r="D933" t="s">
        <v>66</v>
      </c>
      <c r="E933" t="s">
        <v>16</v>
      </c>
      <c r="F933" t="s">
        <v>25</v>
      </c>
      <c r="G933" t="s">
        <v>26</v>
      </c>
      <c r="H933" t="s">
        <v>27</v>
      </c>
      <c r="I933">
        <v>8</v>
      </c>
      <c r="J933">
        <v>822.8</v>
      </c>
      <c r="K933">
        <v>80.16</v>
      </c>
      <c r="L933">
        <v>15</v>
      </c>
      <c r="M933" t="s">
        <v>45</v>
      </c>
      <c r="N933" t="str">
        <f>TEXT(Table1[[#This Row],[Order Date]],"MMMM")</f>
        <v>September</v>
      </c>
      <c r="O933">
        <f>YEAR(Table1[[#This Row],[Order Date]])</f>
        <v>2025</v>
      </c>
      <c r="P933" t="str">
        <f>"Q"&amp;ROUNDUP(MONTH(Table1[[#This Row],[Order Date]])/3,0)</f>
        <v>Q3</v>
      </c>
      <c r="Q933" s="3">
        <f>Table1[[#This Row],[Profit]]/Table1[[#This Row],[Sales]]</f>
        <v>9.7423432182790468E-2</v>
      </c>
      <c r="R933" t="str">
        <f>IF(Table1[[#This Row],[Sales]]&lt;1000,"LOW",IF(Table1[[#This Row],[Sales]]&lt;5000,"MEDIUM","HIGH"))</f>
        <v>LOW</v>
      </c>
      <c r="S933" s="2">
        <f>Table1[[#This Row],[Discount]]/100</f>
        <v>0.15</v>
      </c>
    </row>
    <row r="934" spans="1:19" x14ac:dyDescent="0.3">
      <c r="A934">
        <v>10933</v>
      </c>
      <c r="B934" s="1" t="s">
        <v>426</v>
      </c>
      <c r="C934" t="s">
        <v>394</v>
      </c>
      <c r="D934" t="s">
        <v>56</v>
      </c>
      <c r="E934" t="s">
        <v>57</v>
      </c>
      <c r="F934" t="s">
        <v>17</v>
      </c>
      <c r="G934" t="s">
        <v>75</v>
      </c>
      <c r="H934" t="s">
        <v>116</v>
      </c>
      <c r="I934">
        <v>4</v>
      </c>
      <c r="J934">
        <v>12256</v>
      </c>
      <c r="K934">
        <v>2304.15</v>
      </c>
      <c r="L934">
        <v>0</v>
      </c>
      <c r="M934" t="s">
        <v>28</v>
      </c>
      <c r="N934" t="str">
        <f>TEXT(Table1[[#This Row],[Order Date]],"MMMM")</f>
        <v>September</v>
      </c>
      <c r="O934">
        <f>YEAR(Table1[[#This Row],[Order Date]])</f>
        <v>2025</v>
      </c>
      <c r="P934" t="str">
        <f>"Q"&amp;ROUNDUP(MONTH(Table1[[#This Row],[Order Date]])/3,0)</f>
        <v>Q3</v>
      </c>
      <c r="Q934" s="3">
        <f>Table1[[#This Row],[Profit]]/Table1[[#This Row],[Sales]]</f>
        <v>0.1880017950391645</v>
      </c>
      <c r="R934" t="str">
        <f>IF(Table1[[#This Row],[Sales]]&lt;1000,"LOW",IF(Table1[[#This Row],[Sales]]&lt;5000,"MEDIUM","HIGH"))</f>
        <v>HIGH</v>
      </c>
      <c r="S934" s="2">
        <f>Table1[[#This Row],[Discount]]/100</f>
        <v>0</v>
      </c>
    </row>
    <row r="935" spans="1:19" x14ac:dyDescent="0.3">
      <c r="A935">
        <v>10934</v>
      </c>
      <c r="B935" s="1" t="s">
        <v>143</v>
      </c>
      <c r="C935" t="s">
        <v>276</v>
      </c>
      <c r="D935" t="s">
        <v>36</v>
      </c>
      <c r="E935" t="s">
        <v>37</v>
      </c>
      <c r="F935" t="s">
        <v>17</v>
      </c>
      <c r="G935" t="s">
        <v>43</v>
      </c>
      <c r="H935" t="s">
        <v>44</v>
      </c>
      <c r="I935">
        <v>6</v>
      </c>
      <c r="J935">
        <v>28260.6</v>
      </c>
      <c r="K935">
        <v>2778.34</v>
      </c>
      <c r="L935">
        <v>5</v>
      </c>
      <c r="M935" t="s">
        <v>40</v>
      </c>
      <c r="N935" t="str">
        <f>TEXT(Table1[[#This Row],[Order Date]],"MMMM")</f>
        <v>September</v>
      </c>
      <c r="O935">
        <f>YEAR(Table1[[#This Row],[Order Date]])</f>
        <v>2025</v>
      </c>
      <c r="P935" t="str">
        <f>"Q"&amp;ROUNDUP(MONTH(Table1[[#This Row],[Order Date]])/3,0)</f>
        <v>Q3</v>
      </c>
      <c r="Q935" s="3">
        <f>Table1[[#This Row],[Profit]]/Table1[[#This Row],[Sales]]</f>
        <v>9.8311430047486617E-2</v>
      </c>
      <c r="R935" t="str">
        <f>IF(Table1[[#This Row],[Sales]]&lt;1000,"LOW",IF(Table1[[#This Row],[Sales]]&lt;5000,"MEDIUM","HIGH"))</f>
        <v>HIGH</v>
      </c>
      <c r="S935" s="2">
        <f>Table1[[#This Row],[Discount]]/100</f>
        <v>0.05</v>
      </c>
    </row>
    <row r="936" spans="1:19" x14ac:dyDescent="0.3">
      <c r="A936">
        <v>10935</v>
      </c>
      <c r="B936" s="1" t="s">
        <v>575</v>
      </c>
      <c r="C936" t="s">
        <v>576</v>
      </c>
      <c r="D936" t="s">
        <v>60</v>
      </c>
      <c r="E936" t="s">
        <v>61</v>
      </c>
      <c r="F936" t="s">
        <v>25</v>
      </c>
      <c r="G936" t="s">
        <v>26</v>
      </c>
      <c r="H936" t="s">
        <v>27</v>
      </c>
      <c r="I936">
        <v>3</v>
      </c>
      <c r="J936">
        <v>8289</v>
      </c>
      <c r="K936">
        <v>2396.17</v>
      </c>
      <c r="L936">
        <v>0</v>
      </c>
      <c r="M936" t="s">
        <v>28</v>
      </c>
      <c r="N936" t="str">
        <f>TEXT(Table1[[#This Row],[Order Date]],"MMMM")</f>
        <v>July</v>
      </c>
      <c r="O936">
        <f>YEAR(Table1[[#This Row],[Order Date]])</f>
        <v>2025</v>
      </c>
      <c r="P936" t="str">
        <f>"Q"&amp;ROUNDUP(MONTH(Table1[[#This Row],[Order Date]])/3,0)</f>
        <v>Q3</v>
      </c>
      <c r="Q936" s="3">
        <f>Table1[[#This Row],[Profit]]/Table1[[#This Row],[Sales]]</f>
        <v>0.28907829653757994</v>
      </c>
      <c r="R936" t="str">
        <f>IF(Table1[[#This Row],[Sales]]&lt;1000,"LOW",IF(Table1[[#This Row],[Sales]]&lt;5000,"MEDIUM","HIGH"))</f>
        <v>HIGH</v>
      </c>
      <c r="S936" s="2">
        <f>Table1[[#This Row],[Discount]]/100</f>
        <v>0</v>
      </c>
    </row>
    <row r="937" spans="1:19" x14ac:dyDescent="0.3">
      <c r="A937">
        <v>10936</v>
      </c>
      <c r="B937" s="1" t="s">
        <v>183</v>
      </c>
      <c r="C937" t="s">
        <v>396</v>
      </c>
      <c r="D937" t="s">
        <v>23</v>
      </c>
      <c r="E937" t="s">
        <v>24</v>
      </c>
      <c r="F937" t="s">
        <v>31</v>
      </c>
      <c r="G937" t="s">
        <v>124</v>
      </c>
      <c r="H937" t="s">
        <v>125</v>
      </c>
      <c r="I937">
        <v>3</v>
      </c>
      <c r="J937">
        <v>10014.9</v>
      </c>
      <c r="K937">
        <v>1456.63</v>
      </c>
      <c r="L937">
        <v>5</v>
      </c>
      <c r="M937" t="s">
        <v>45</v>
      </c>
      <c r="N937" t="str">
        <f>TEXT(Table1[[#This Row],[Order Date]],"MMMM")</f>
        <v>January</v>
      </c>
      <c r="O937">
        <f>YEAR(Table1[[#This Row],[Order Date]])</f>
        <v>2025</v>
      </c>
      <c r="P937" t="str">
        <f>"Q"&amp;ROUNDUP(MONTH(Table1[[#This Row],[Order Date]])/3,0)</f>
        <v>Q1</v>
      </c>
      <c r="Q937" s="3">
        <f>Table1[[#This Row],[Profit]]/Table1[[#This Row],[Sales]]</f>
        <v>0.14544628503529741</v>
      </c>
      <c r="R937" t="str">
        <f>IF(Table1[[#This Row],[Sales]]&lt;1000,"LOW",IF(Table1[[#This Row],[Sales]]&lt;5000,"MEDIUM","HIGH"))</f>
        <v>HIGH</v>
      </c>
      <c r="S937" s="2">
        <f>Table1[[#This Row],[Discount]]/100</f>
        <v>0.05</v>
      </c>
    </row>
    <row r="938" spans="1:19" x14ac:dyDescent="0.3">
      <c r="A938">
        <v>10937</v>
      </c>
      <c r="B938" s="1" t="s">
        <v>207</v>
      </c>
      <c r="C938" t="s">
        <v>253</v>
      </c>
      <c r="D938" t="s">
        <v>74</v>
      </c>
      <c r="E938" t="s">
        <v>74</v>
      </c>
      <c r="F938" t="s">
        <v>25</v>
      </c>
      <c r="G938" t="s">
        <v>26</v>
      </c>
      <c r="H938" t="s">
        <v>27</v>
      </c>
      <c r="I938">
        <v>8</v>
      </c>
      <c r="J938">
        <v>8466</v>
      </c>
      <c r="K938">
        <v>2206.4499999999998</v>
      </c>
      <c r="L938">
        <v>15</v>
      </c>
      <c r="M938" t="s">
        <v>20</v>
      </c>
      <c r="N938" t="str">
        <f>TEXT(Table1[[#This Row],[Order Date]],"MMMM")</f>
        <v>August</v>
      </c>
      <c r="O938">
        <f>YEAR(Table1[[#This Row],[Order Date]])</f>
        <v>2025</v>
      </c>
      <c r="P938" t="str">
        <f>"Q"&amp;ROUNDUP(MONTH(Table1[[#This Row],[Order Date]])/3,0)</f>
        <v>Q3</v>
      </c>
      <c r="Q938" s="3">
        <f>Table1[[#This Row],[Profit]]/Table1[[#This Row],[Sales]]</f>
        <v>0.26062485235057875</v>
      </c>
      <c r="R938" t="str">
        <f>IF(Table1[[#This Row],[Sales]]&lt;1000,"LOW",IF(Table1[[#This Row],[Sales]]&lt;5000,"MEDIUM","HIGH"))</f>
        <v>HIGH</v>
      </c>
      <c r="S938" s="2">
        <f>Table1[[#This Row],[Discount]]/100</f>
        <v>0.15</v>
      </c>
    </row>
    <row r="939" spans="1:19" x14ac:dyDescent="0.3">
      <c r="A939">
        <v>10938</v>
      </c>
      <c r="B939" s="1" t="s">
        <v>474</v>
      </c>
      <c r="C939" t="s">
        <v>222</v>
      </c>
      <c r="D939" t="s">
        <v>23</v>
      </c>
      <c r="E939" t="s">
        <v>24</v>
      </c>
      <c r="F939" t="s">
        <v>31</v>
      </c>
      <c r="G939" t="s">
        <v>89</v>
      </c>
      <c r="H939" t="s">
        <v>90</v>
      </c>
      <c r="I939">
        <v>8</v>
      </c>
      <c r="J939">
        <v>21002.400000000001</v>
      </c>
      <c r="K939">
        <v>6014.07</v>
      </c>
      <c r="L939">
        <v>10</v>
      </c>
      <c r="M939" t="s">
        <v>45</v>
      </c>
      <c r="N939" t="str">
        <f>TEXT(Table1[[#This Row],[Order Date]],"MMMM")</f>
        <v>March</v>
      </c>
      <c r="O939">
        <f>YEAR(Table1[[#This Row],[Order Date]])</f>
        <v>2025</v>
      </c>
      <c r="P939" t="str">
        <f>"Q"&amp;ROUNDUP(MONTH(Table1[[#This Row],[Order Date]])/3,0)</f>
        <v>Q1</v>
      </c>
      <c r="Q939" s="3">
        <f>Table1[[#This Row],[Profit]]/Table1[[#This Row],[Sales]]</f>
        <v>0.2863515598217346</v>
      </c>
      <c r="R939" t="str">
        <f>IF(Table1[[#This Row],[Sales]]&lt;1000,"LOW",IF(Table1[[#This Row],[Sales]]&lt;5000,"MEDIUM","HIGH"))</f>
        <v>HIGH</v>
      </c>
      <c r="S939" s="2">
        <f>Table1[[#This Row],[Discount]]/100</f>
        <v>0.1</v>
      </c>
    </row>
    <row r="940" spans="1:19" x14ac:dyDescent="0.3">
      <c r="A940">
        <v>10939</v>
      </c>
      <c r="B940" s="1" t="s">
        <v>211</v>
      </c>
      <c r="C940" t="s">
        <v>146</v>
      </c>
      <c r="D940" t="s">
        <v>52</v>
      </c>
      <c r="E940" t="s">
        <v>53</v>
      </c>
      <c r="F940" t="s">
        <v>31</v>
      </c>
      <c r="G940" t="s">
        <v>38</v>
      </c>
      <c r="H940" t="s">
        <v>39</v>
      </c>
      <c r="I940">
        <v>2</v>
      </c>
      <c r="J940">
        <v>8021.8</v>
      </c>
      <c r="K940">
        <v>2116.54</v>
      </c>
      <c r="L940">
        <v>5</v>
      </c>
      <c r="M940" t="s">
        <v>40</v>
      </c>
      <c r="N940" t="str">
        <f>TEXT(Table1[[#This Row],[Order Date]],"MMMM")</f>
        <v>March</v>
      </c>
      <c r="O940">
        <f>YEAR(Table1[[#This Row],[Order Date]])</f>
        <v>2025</v>
      </c>
      <c r="P940" t="str">
        <f>"Q"&amp;ROUNDUP(MONTH(Table1[[#This Row],[Order Date]])/3,0)</f>
        <v>Q1</v>
      </c>
      <c r="Q940" s="3">
        <f>Table1[[#This Row],[Profit]]/Table1[[#This Row],[Sales]]</f>
        <v>0.26384851280261284</v>
      </c>
      <c r="R940" t="str">
        <f>IF(Table1[[#This Row],[Sales]]&lt;1000,"LOW",IF(Table1[[#This Row],[Sales]]&lt;5000,"MEDIUM","HIGH"))</f>
        <v>HIGH</v>
      </c>
      <c r="S940" s="2">
        <f>Table1[[#This Row],[Discount]]/100</f>
        <v>0.05</v>
      </c>
    </row>
    <row r="941" spans="1:19" x14ac:dyDescent="0.3">
      <c r="A941">
        <v>10940</v>
      </c>
      <c r="B941" s="1" t="s">
        <v>491</v>
      </c>
      <c r="C941" t="s">
        <v>98</v>
      </c>
      <c r="D941" t="s">
        <v>74</v>
      </c>
      <c r="E941" t="s">
        <v>74</v>
      </c>
      <c r="F941" t="s">
        <v>25</v>
      </c>
      <c r="G941" t="s">
        <v>26</v>
      </c>
      <c r="H941" t="s">
        <v>48</v>
      </c>
      <c r="I941">
        <v>7</v>
      </c>
      <c r="J941">
        <v>18921</v>
      </c>
      <c r="K941">
        <v>1578.99</v>
      </c>
      <c r="L941">
        <v>15</v>
      </c>
      <c r="M941" t="s">
        <v>45</v>
      </c>
      <c r="N941" t="str">
        <f>TEXT(Table1[[#This Row],[Order Date]],"MMMM")</f>
        <v>September</v>
      </c>
      <c r="O941">
        <f>YEAR(Table1[[#This Row],[Order Date]])</f>
        <v>2025</v>
      </c>
      <c r="P941" t="str">
        <f>"Q"&amp;ROUNDUP(MONTH(Table1[[#This Row],[Order Date]])/3,0)</f>
        <v>Q3</v>
      </c>
      <c r="Q941" s="3">
        <f>Table1[[#This Row],[Profit]]/Table1[[#This Row],[Sales]]</f>
        <v>8.3451720310765823E-2</v>
      </c>
      <c r="R941" t="str">
        <f>IF(Table1[[#This Row],[Sales]]&lt;1000,"LOW",IF(Table1[[#This Row],[Sales]]&lt;5000,"MEDIUM","HIGH"))</f>
        <v>HIGH</v>
      </c>
      <c r="S941" s="2">
        <f>Table1[[#This Row],[Discount]]/100</f>
        <v>0.15</v>
      </c>
    </row>
    <row r="942" spans="1:19" x14ac:dyDescent="0.3">
      <c r="A942">
        <v>10941</v>
      </c>
      <c r="B942" s="1" t="s">
        <v>346</v>
      </c>
      <c r="C942" t="s">
        <v>197</v>
      </c>
      <c r="D942" t="s">
        <v>56</v>
      </c>
      <c r="E942" t="s">
        <v>57</v>
      </c>
      <c r="F942" t="s">
        <v>31</v>
      </c>
      <c r="G942" t="s">
        <v>89</v>
      </c>
      <c r="H942" t="s">
        <v>90</v>
      </c>
      <c r="I942">
        <v>8</v>
      </c>
      <c r="J942">
        <v>23184</v>
      </c>
      <c r="K942">
        <v>5628.61</v>
      </c>
      <c r="L942">
        <v>0</v>
      </c>
      <c r="M942" t="s">
        <v>40</v>
      </c>
      <c r="N942" t="str">
        <f>TEXT(Table1[[#This Row],[Order Date]],"MMMM")</f>
        <v>October</v>
      </c>
      <c r="O942">
        <f>YEAR(Table1[[#This Row],[Order Date]])</f>
        <v>2025</v>
      </c>
      <c r="P942" t="str">
        <f>"Q"&amp;ROUNDUP(MONTH(Table1[[#This Row],[Order Date]])/3,0)</f>
        <v>Q4</v>
      </c>
      <c r="Q942" s="3">
        <f>Table1[[#This Row],[Profit]]/Table1[[#This Row],[Sales]]</f>
        <v>0.24277993443754312</v>
      </c>
      <c r="R942" t="str">
        <f>IF(Table1[[#This Row],[Sales]]&lt;1000,"LOW",IF(Table1[[#This Row],[Sales]]&lt;5000,"MEDIUM","HIGH"))</f>
        <v>HIGH</v>
      </c>
      <c r="S942" s="2">
        <f>Table1[[#This Row],[Discount]]/100</f>
        <v>0</v>
      </c>
    </row>
    <row r="943" spans="1:19" x14ac:dyDescent="0.3">
      <c r="A943">
        <v>10942</v>
      </c>
      <c r="B943" s="1" t="s">
        <v>577</v>
      </c>
      <c r="C943" t="s">
        <v>203</v>
      </c>
      <c r="D943" t="s">
        <v>66</v>
      </c>
      <c r="E943" t="s">
        <v>16</v>
      </c>
      <c r="F943" t="s">
        <v>25</v>
      </c>
      <c r="G943" t="s">
        <v>95</v>
      </c>
      <c r="H943" t="s">
        <v>96</v>
      </c>
      <c r="I943">
        <v>6</v>
      </c>
      <c r="J943">
        <v>4374</v>
      </c>
      <c r="K943">
        <v>832.14</v>
      </c>
      <c r="L943">
        <v>10</v>
      </c>
      <c r="M943" t="s">
        <v>49</v>
      </c>
      <c r="N943" t="str">
        <f>TEXT(Table1[[#This Row],[Order Date]],"MMMM")</f>
        <v>January</v>
      </c>
      <c r="O943">
        <f>YEAR(Table1[[#This Row],[Order Date]])</f>
        <v>2025</v>
      </c>
      <c r="P943" t="str">
        <f>"Q"&amp;ROUNDUP(MONTH(Table1[[#This Row],[Order Date]])/3,0)</f>
        <v>Q1</v>
      </c>
      <c r="Q943" s="3">
        <f>Table1[[#This Row],[Profit]]/Table1[[#This Row],[Sales]]</f>
        <v>0.19024691358024692</v>
      </c>
      <c r="R943" t="str">
        <f>IF(Table1[[#This Row],[Sales]]&lt;1000,"LOW",IF(Table1[[#This Row],[Sales]]&lt;5000,"MEDIUM","HIGH"))</f>
        <v>MEDIUM</v>
      </c>
      <c r="S943" s="2">
        <f>Table1[[#This Row],[Discount]]/100</f>
        <v>0.1</v>
      </c>
    </row>
    <row r="944" spans="1:19" x14ac:dyDescent="0.3">
      <c r="A944">
        <v>10943</v>
      </c>
      <c r="B944" s="1" t="s">
        <v>221</v>
      </c>
      <c r="C944" t="s">
        <v>527</v>
      </c>
      <c r="D944" t="s">
        <v>66</v>
      </c>
      <c r="E944" t="s">
        <v>16</v>
      </c>
      <c r="F944" t="s">
        <v>25</v>
      </c>
      <c r="G944" t="s">
        <v>26</v>
      </c>
      <c r="H944" t="s">
        <v>71</v>
      </c>
      <c r="I944">
        <v>2</v>
      </c>
      <c r="J944">
        <v>6823.8</v>
      </c>
      <c r="K944">
        <v>1029.3599999999999</v>
      </c>
      <c r="L944">
        <v>10</v>
      </c>
      <c r="M944" t="s">
        <v>20</v>
      </c>
      <c r="N944" t="str">
        <f>TEXT(Table1[[#This Row],[Order Date]],"MMMM")</f>
        <v>March</v>
      </c>
      <c r="O944">
        <f>YEAR(Table1[[#This Row],[Order Date]])</f>
        <v>2025</v>
      </c>
      <c r="P944" t="str">
        <f>"Q"&amp;ROUNDUP(MONTH(Table1[[#This Row],[Order Date]])/3,0)</f>
        <v>Q1</v>
      </c>
      <c r="Q944" s="3">
        <f>Table1[[#This Row],[Profit]]/Table1[[#This Row],[Sales]]</f>
        <v>0.15084850083531168</v>
      </c>
      <c r="R944" t="str">
        <f>IF(Table1[[#This Row],[Sales]]&lt;1000,"LOW",IF(Table1[[#This Row],[Sales]]&lt;5000,"MEDIUM","HIGH"))</f>
        <v>HIGH</v>
      </c>
      <c r="S944" s="2">
        <f>Table1[[#This Row],[Discount]]/100</f>
        <v>0.1</v>
      </c>
    </row>
    <row r="945" spans="1:19" x14ac:dyDescent="0.3">
      <c r="A945">
        <v>10944</v>
      </c>
      <c r="B945" s="1" t="s">
        <v>323</v>
      </c>
      <c r="C945" t="s">
        <v>552</v>
      </c>
      <c r="D945" t="s">
        <v>15</v>
      </c>
      <c r="E945" t="s">
        <v>16</v>
      </c>
      <c r="F945" t="s">
        <v>31</v>
      </c>
      <c r="G945" t="s">
        <v>89</v>
      </c>
      <c r="H945" t="s">
        <v>90</v>
      </c>
      <c r="I945">
        <v>8</v>
      </c>
      <c r="J945">
        <v>2278</v>
      </c>
      <c r="K945">
        <v>340.47</v>
      </c>
      <c r="L945">
        <v>15</v>
      </c>
      <c r="M945" t="s">
        <v>40</v>
      </c>
      <c r="N945" t="str">
        <f>TEXT(Table1[[#This Row],[Order Date]],"MMMM")</f>
        <v>December</v>
      </c>
      <c r="O945">
        <f>YEAR(Table1[[#This Row],[Order Date]])</f>
        <v>2025</v>
      </c>
      <c r="P945" t="str">
        <f>"Q"&amp;ROUNDUP(MONTH(Table1[[#This Row],[Order Date]])/3,0)</f>
        <v>Q4</v>
      </c>
      <c r="Q945" s="3">
        <f>Table1[[#This Row],[Profit]]/Table1[[#This Row],[Sales]]</f>
        <v>0.14946005267778756</v>
      </c>
      <c r="R945" t="str">
        <f>IF(Table1[[#This Row],[Sales]]&lt;1000,"LOW",IF(Table1[[#This Row],[Sales]]&lt;5000,"MEDIUM","HIGH"))</f>
        <v>MEDIUM</v>
      </c>
      <c r="S945" s="2">
        <f>Table1[[#This Row],[Discount]]/100</f>
        <v>0.15</v>
      </c>
    </row>
    <row r="946" spans="1:19" x14ac:dyDescent="0.3">
      <c r="A946">
        <v>10945</v>
      </c>
      <c r="B946" s="1" t="s">
        <v>392</v>
      </c>
      <c r="C946" t="s">
        <v>137</v>
      </c>
      <c r="D946" t="s">
        <v>56</v>
      </c>
      <c r="E946" t="s">
        <v>57</v>
      </c>
      <c r="F946" t="s">
        <v>17</v>
      </c>
      <c r="G946" t="s">
        <v>18</v>
      </c>
      <c r="H946" t="s">
        <v>19</v>
      </c>
      <c r="I946">
        <v>8</v>
      </c>
      <c r="J946">
        <v>1497.2</v>
      </c>
      <c r="K946">
        <v>321.35000000000002</v>
      </c>
      <c r="L946">
        <v>5</v>
      </c>
      <c r="M946" t="s">
        <v>20</v>
      </c>
      <c r="N946" t="str">
        <f>TEXT(Table1[[#This Row],[Order Date]],"MMMM")</f>
        <v>August</v>
      </c>
      <c r="O946">
        <f>YEAR(Table1[[#This Row],[Order Date]])</f>
        <v>2025</v>
      </c>
      <c r="P946" t="str">
        <f>"Q"&amp;ROUNDUP(MONTH(Table1[[#This Row],[Order Date]])/3,0)</f>
        <v>Q3</v>
      </c>
      <c r="Q946" s="3">
        <f>Table1[[#This Row],[Profit]]/Table1[[#This Row],[Sales]]</f>
        <v>0.21463398343574674</v>
      </c>
      <c r="R946" t="str">
        <f>IF(Table1[[#This Row],[Sales]]&lt;1000,"LOW",IF(Table1[[#This Row],[Sales]]&lt;5000,"MEDIUM","HIGH"))</f>
        <v>MEDIUM</v>
      </c>
      <c r="S946" s="2">
        <f>Table1[[#This Row],[Discount]]/100</f>
        <v>0.05</v>
      </c>
    </row>
    <row r="947" spans="1:19" x14ac:dyDescent="0.3">
      <c r="A947">
        <v>10946</v>
      </c>
      <c r="B947" s="1" t="s">
        <v>578</v>
      </c>
      <c r="C947" t="s">
        <v>424</v>
      </c>
      <c r="D947" t="s">
        <v>56</v>
      </c>
      <c r="E947" t="s">
        <v>57</v>
      </c>
      <c r="F947" t="s">
        <v>25</v>
      </c>
      <c r="G947" t="s">
        <v>26</v>
      </c>
      <c r="H947" t="s">
        <v>48</v>
      </c>
      <c r="I947">
        <v>2</v>
      </c>
      <c r="J947">
        <v>2488</v>
      </c>
      <c r="K947">
        <v>397.55</v>
      </c>
      <c r="L947">
        <v>20</v>
      </c>
      <c r="M947" t="s">
        <v>20</v>
      </c>
      <c r="N947" t="str">
        <f>TEXT(Table1[[#This Row],[Order Date]],"MMMM")</f>
        <v>April</v>
      </c>
      <c r="O947">
        <f>YEAR(Table1[[#This Row],[Order Date]])</f>
        <v>2025</v>
      </c>
      <c r="P947" t="str">
        <f>"Q"&amp;ROUNDUP(MONTH(Table1[[#This Row],[Order Date]])/3,0)</f>
        <v>Q2</v>
      </c>
      <c r="Q947" s="3">
        <f>Table1[[#This Row],[Profit]]/Table1[[#This Row],[Sales]]</f>
        <v>0.15978697749196141</v>
      </c>
      <c r="R947" t="str">
        <f>IF(Table1[[#This Row],[Sales]]&lt;1000,"LOW",IF(Table1[[#This Row],[Sales]]&lt;5000,"MEDIUM","HIGH"))</f>
        <v>MEDIUM</v>
      </c>
      <c r="S947" s="2">
        <f>Table1[[#This Row],[Discount]]/100</f>
        <v>0.2</v>
      </c>
    </row>
    <row r="948" spans="1:19" x14ac:dyDescent="0.3">
      <c r="A948">
        <v>10947</v>
      </c>
      <c r="B948" s="1" t="s">
        <v>541</v>
      </c>
      <c r="C948" t="s">
        <v>417</v>
      </c>
      <c r="D948" t="s">
        <v>60</v>
      </c>
      <c r="E948" t="s">
        <v>61</v>
      </c>
      <c r="F948" t="s">
        <v>25</v>
      </c>
      <c r="G948" t="s">
        <v>95</v>
      </c>
      <c r="H948" t="s">
        <v>96</v>
      </c>
      <c r="I948">
        <v>4</v>
      </c>
      <c r="J948">
        <v>18597.2</v>
      </c>
      <c r="K948">
        <v>5156.83</v>
      </c>
      <c r="L948">
        <v>5</v>
      </c>
      <c r="M948" t="s">
        <v>40</v>
      </c>
      <c r="N948" t="str">
        <f>TEXT(Table1[[#This Row],[Order Date]],"MMMM")</f>
        <v>September</v>
      </c>
      <c r="O948">
        <f>YEAR(Table1[[#This Row],[Order Date]])</f>
        <v>2025</v>
      </c>
      <c r="P948" t="str">
        <f>"Q"&amp;ROUNDUP(MONTH(Table1[[#This Row],[Order Date]])/3,0)</f>
        <v>Q3</v>
      </c>
      <c r="Q948" s="3">
        <f>Table1[[#This Row],[Profit]]/Table1[[#This Row],[Sales]]</f>
        <v>0.27729066741229863</v>
      </c>
      <c r="R948" t="str">
        <f>IF(Table1[[#This Row],[Sales]]&lt;1000,"LOW",IF(Table1[[#This Row],[Sales]]&lt;5000,"MEDIUM","HIGH"))</f>
        <v>HIGH</v>
      </c>
      <c r="S948" s="2">
        <f>Table1[[#This Row],[Discount]]/100</f>
        <v>0.05</v>
      </c>
    </row>
    <row r="949" spans="1:19" x14ac:dyDescent="0.3">
      <c r="A949">
        <v>10948</v>
      </c>
      <c r="B949" s="1" t="s">
        <v>72</v>
      </c>
      <c r="C949" t="s">
        <v>288</v>
      </c>
      <c r="D949" t="s">
        <v>66</v>
      </c>
      <c r="E949" t="s">
        <v>16</v>
      </c>
      <c r="F949" t="s">
        <v>17</v>
      </c>
      <c r="G949" t="s">
        <v>43</v>
      </c>
      <c r="H949" t="s">
        <v>44</v>
      </c>
      <c r="I949">
        <v>1</v>
      </c>
      <c r="J949">
        <v>813.45</v>
      </c>
      <c r="K949">
        <v>213.5</v>
      </c>
      <c r="L949">
        <v>15</v>
      </c>
      <c r="M949" t="s">
        <v>40</v>
      </c>
      <c r="N949" t="str">
        <f>TEXT(Table1[[#This Row],[Order Date]],"MMMM")</f>
        <v>March</v>
      </c>
      <c r="O949">
        <f>YEAR(Table1[[#This Row],[Order Date]])</f>
        <v>2025</v>
      </c>
      <c r="P949" t="str">
        <f>"Q"&amp;ROUNDUP(MONTH(Table1[[#This Row],[Order Date]])/3,0)</f>
        <v>Q1</v>
      </c>
      <c r="Q949" s="3">
        <f>Table1[[#This Row],[Profit]]/Table1[[#This Row],[Sales]]</f>
        <v>0.26246235171184462</v>
      </c>
      <c r="R949" t="str">
        <f>IF(Table1[[#This Row],[Sales]]&lt;1000,"LOW",IF(Table1[[#This Row],[Sales]]&lt;5000,"MEDIUM","HIGH"))</f>
        <v>LOW</v>
      </c>
      <c r="S949" s="2">
        <f>Table1[[#This Row],[Discount]]/100</f>
        <v>0.15</v>
      </c>
    </row>
    <row r="950" spans="1:19" x14ac:dyDescent="0.3">
      <c r="A950">
        <v>10949</v>
      </c>
      <c r="B950" s="1" t="s">
        <v>431</v>
      </c>
      <c r="C950" t="s">
        <v>317</v>
      </c>
      <c r="D950" t="s">
        <v>60</v>
      </c>
      <c r="E950" t="s">
        <v>61</v>
      </c>
      <c r="F950" t="s">
        <v>31</v>
      </c>
      <c r="G950" t="s">
        <v>32</v>
      </c>
      <c r="H950" t="s">
        <v>33</v>
      </c>
      <c r="I950">
        <v>6</v>
      </c>
      <c r="J950">
        <v>5732.4</v>
      </c>
      <c r="K950">
        <v>1217.07</v>
      </c>
      <c r="L950">
        <v>15</v>
      </c>
      <c r="M950" t="s">
        <v>20</v>
      </c>
      <c r="N950" t="str">
        <f>TEXT(Table1[[#This Row],[Order Date]],"MMMM")</f>
        <v>November</v>
      </c>
      <c r="O950">
        <f>YEAR(Table1[[#This Row],[Order Date]])</f>
        <v>2025</v>
      </c>
      <c r="P950" t="str">
        <f>"Q"&amp;ROUNDUP(MONTH(Table1[[#This Row],[Order Date]])/3,0)</f>
        <v>Q4</v>
      </c>
      <c r="Q950" s="3">
        <f>Table1[[#This Row],[Profit]]/Table1[[#This Row],[Sales]]</f>
        <v>0.21231421394180447</v>
      </c>
      <c r="R950" t="str">
        <f>IF(Table1[[#This Row],[Sales]]&lt;1000,"LOW",IF(Table1[[#This Row],[Sales]]&lt;5000,"MEDIUM","HIGH"))</f>
        <v>HIGH</v>
      </c>
      <c r="S950" s="2">
        <f>Table1[[#This Row],[Discount]]/100</f>
        <v>0.15</v>
      </c>
    </row>
    <row r="951" spans="1:19" x14ac:dyDescent="0.3">
      <c r="A951">
        <v>10950</v>
      </c>
      <c r="B951" s="1" t="s">
        <v>508</v>
      </c>
      <c r="C951" t="s">
        <v>235</v>
      </c>
      <c r="D951" t="s">
        <v>52</v>
      </c>
      <c r="E951" t="s">
        <v>53</v>
      </c>
      <c r="F951" t="s">
        <v>25</v>
      </c>
      <c r="G951" t="s">
        <v>26</v>
      </c>
      <c r="H951" t="s">
        <v>27</v>
      </c>
      <c r="I951">
        <v>6</v>
      </c>
      <c r="J951">
        <v>11776.2</v>
      </c>
      <c r="K951">
        <v>1735.55</v>
      </c>
      <c r="L951">
        <v>5</v>
      </c>
      <c r="M951" t="s">
        <v>49</v>
      </c>
      <c r="N951" t="str">
        <f>TEXT(Table1[[#This Row],[Order Date]],"MMMM")</f>
        <v>September</v>
      </c>
      <c r="O951">
        <f>YEAR(Table1[[#This Row],[Order Date]])</f>
        <v>2025</v>
      </c>
      <c r="P951" t="str">
        <f>"Q"&amp;ROUNDUP(MONTH(Table1[[#This Row],[Order Date]])/3,0)</f>
        <v>Q3</v>
      </c>
      <c r="Q951" s="3">
        <f>Table1[[#This Row],[Profit]]/Table1[[#This Row],[Sales]]</f>
        <v>0.14737776192659771</v>
      </c>
      <c r="R951" t="str">
        <f>IF(Table1[[#This Row],[Sales]]&lt;1000,"LOW",IF(Table1[[#This Row],[Sales]]&lt;5000,"MEDIUM","HIGH"))</f>
        <v>HIGH</v>
      </c>
      <c r="S951" s="2">
        <f>Table1[[#This Row],[Discount]]/100</f>
        <v>0.05</v>
      </c>
    </row>
    <row r="952" spans="1:19" x14ac:dyDescent="0.3">
      <c r="A952">
        <v>10951</v>
      </c>
      <c r="B952" s="1" t="s">
        <v>460</v>
      </c>
      <c r="C952" t="s">
        <v>490</v>
      </c>
      <c r="D952" t="s">
        <v>60</v>
      </c>
      <c r="E952" t="s">
        <v>61</v>
      </c>
      <c r="F952" t="s">
        <v>31</v>
      </c>
      <c r="G952" t="s">
        <v>32</v>
      </c>
      <c r="H952" t="s">
        <v>33</v>
      </c>
      <c r="I952">
        <v>2</v>
      </c>
      <c r="J952">
        <v>4987.8</v>
      </c>
      <c r="K952">
        <v>1106.44</v>
      </c>
      <c r="L952">
        <v>10</v>
      </c>
      <c r="M952" t="s">
        <v>49</v>
      </c>
      <c r="N952" t="str">
        <f>TEXT(Table1[[#This Row],[Order Date]],"MMMM")</f>
        <v>October</v>
      </c>
      <c r="O952">
        <f>YEAR(Table1[[#This Row],[Order Date]])</f>
        <v>2025</v>
      </c>
      <c r="P952" t="str">
        <f>"Q"&amp;ROUNDUP(MONTH(Table1[[#This Row],[Order Date]])/3,0)</f>
        <v>Q4</v>
      </c>
      <c r="Q952" s="3">
        <f>Table1[[#This Row],[Profit]]/Table1[[#This Row],[Sales]]</f>
        <v>0.22182926340270259</v>
      </c>
      <c r="R952" t="str">
        <f>IF(Table1[[#This Row],[Sales]]&lt;1000,"LOW",IF(Table1[[#This Row],[Sales]]&lt;5000,"MEDIUM","HIGH"))</f>
        <v>MEDIUM</v>
      </c>
      <c r="S952" s="2">
        <f>Table1[[#This Row],[Discount]]/100</f>
        <v>0.1</v>
      </c>
    </row>
    <row r="953" spans="1:19" x14ac:dyDescent="0.3">
      <c r="A953">
        <v>10952</v>
      </c>
      <c r="B953" s="1" t="s">
        <v>198</v>
      </c>
      <c r="C953" t="s">
        <v>435</v>
      </c>
      <c r="D953" t="s">
        <v>66</v>
      </c>
      <c r="E953" t="s">
        <v>16</v>
      </c>
      <c r="F953" t="s">
        <v>31</v>
      </c>
      <c r="G953" t="s">
        <v>89</v>
      </c>
      <c r="H953" t="s">
        <v>90</v>
      </c>
      <c r="I953">
        <v>6</v>
      </c>
      <c r="J953">
        <v>19776</v>
      </c>
      <c r="K953">
        <v>4014.51</v>
      </c>
      <c r="L953">
        <v>0</v>
      </c>
      <c r="M953" t="s">
        <v>28</v>
      </c>
      <c r="N953" t="str">
        <f>TEXT(Table1[[#This Row],[Order Date]],"MMMM")</f>
        <v>May</v>
      </c>
      <c r="O953">
        <f>YEAR(Table1[[#This Row],[Order Date]])</f>
        <v>2025</v>
      </c>
      <c r="P953" t="str">
        <f>"Q"&amp;ROUNDUP(MONTH(Table1[[#This Row],[Order Date]])/3,0)</f>
        <v>Q2</v>
      </c>
      <c r="Q953" s="3">
        <f>Table1[[#This Row],[Profit]]/Table1[[#This Row],[Sales]]</f>
        <v>0.20299908980582526</v>
      </c>
      <c r="R953" t="str">
        <f>IF(Table1[[#This Row],[Sales]]&lt;1000,"LOW",IF(Table1[[#This Row],[Sales]]&lt;5000,"MEDIUM","HIGH"))</f>
        <v>HIGH</v>
      </c>
      <c r="S953" s="2">
        <f>Table1[[#This Row],[Discount]]/100</f>
        <v>0</v>
      </c>
    </row>
    <row r="954" spans="1:19" x14ac:dyDescent="0.3">
      <c r="A954">
        <v>10953</v>
      </c>
      <c r="B954" s="1" t="s">
        <v>350</v>
      </c>
      <c r="C954" t="s">
        <v>529</v>
      </c>
      <c r="D954" t="s">
        <v>74</v>
      </c>
      <c r="E954" t="s">
        <v>74</v>
      </c>
      <c r="F954" t="s">
        <v>25</v>
      </c>
      <c r="G954" t="s">
        <v>26</v>
      </c>
      <c r="H954" t="s">
        <v>48</v>
      </c>
      <c r="I954">
        <v>7</v>
      </c>
      <c r="J954">
        <v>28329</v>
      </c>
      <c r="K954">
        <v>5787.93</v>
      </c>
      <c r="L954">
        <v>5</v>
      </c>
      <c r="M954" t="s">
        <v>45</v>
      </c>
      <c r="N954" t="str">
        <f>TEXT(Table1[[#This Row],[Order Date]],"MMMM")</f>
        <v>August</v>
      </c>
      <c r="O954">
        <f>YEAR(Table1[[#This Row],[Order Date]])</f>
        <v>2025</v>
      </c>
      <c r="P954" t="str">
        <f>"Q"&amp;ROUNDUP(MONTH(Table1[[#This Row],[Order Date]])/3,0)</f>
        <v>Q3</v>
      </c>
      <c r="Q954" s="3">
        <f>Table1[[#This Row],[Profit]]/Table1[[#This Row],[Sales]]</f>
        <v>0.20431112993751988</v>
      </c>
      <c r="R954" t="str">
        <f>IF(Table1[[#This Row],[Sales]]&lt;1000,"LOW",IF(Table1[[#This Row],[Sales]]&lt;5000,"MEDIUM","HIGH"))</f>
        <v>HIGH</v>
      </c>
      <c r="S954" s="2">
        <f>Table1[[#This Row],[Discount]]/100</f>
        <v>0.05</v>
      </c>
    </row>
    <row r="955" spans="1:19" x14ac:dyDescent="0.3">
      <c r="A955">
        <v>10954</v>
      </c>
      <c r="B955" s="1" t="s">
        <v>449</v>
      </c>
      <c r="C955" t="s">
        <v>22</v>
      </c>
      <c r="D955" t="s">
        <v>56</v>
      </c>
      <c r="E955" t="s">
        <v>57</v>
      </c>
      <c r="F955" t="s">
        <v>31</v>
      </c>
      <c r="G955" t="s">
        <v>38</v>
      </c>
      <c r="H955" t="s">
        <v>39</v>
      </c>
      <c r="I955">
        <v>4</v>
      </c>
      <c r="J955">
        <v>12817.4</v>
      </c>
      <c r="K955">
        <v>3532.34</v>
      </c>
      <c r="L955">
        <v>5</v>
      </c>
      <c r="M955" t="s">
        <v>20</v>
      </c>
      <c r="N955" t="str">
        <f>TEXT(Table1[[#This Row],[Order Date]],"MMMM")</f>
        <v>January</v>
      </c>
      <c r="O955">
        <f>YEAR(Table1[[#This Row],[Order Date]])</f>
        <v>2025</v>
      </c>
      <c r="P955" t="str">
        <f>"Q"&amp;ROUNDUP(MONTH(Table1[[#This Row],[Order Date]])/3,0)</f>
        <v>Q1</v>
      </c>
      <c r="Q955" s="3">
        <f>Table1[[#This Row],[Profit]]/Table1[[#This Row],[Sales]]</f>
        <v>0.27558943311436018</v>
      </c>
      <c r="R955" t="str">
        <f>IF(Table1[[#This Row],[Sales]]&lt;1000,"LOW",IF(Table1[[#This Row],[Sales]]&lt;5000,"MEDIUM","HIGH"))</f>
        <v>HIGH</v>
      </c>
      <c r="S955" s="2">
        <f>Table1[[#This Row],[Discount]]/100</f>
        <v>0.05</v>
      </c>
    </row>
    <row r="956" spans="1:19" x14ac:dyDescent="0.3">
      <c r="A956">
        <v>10955</v>
      </c>
      <c r="B956" s="1" t="s">
        <v>200</v>
      </c>
      <c r="C956" t="s">
        <v>115</v>
      </c>
      <c r="D956" t="s">
        <v>52</v>
      </c>
      <c r="E956" t="s">
        <v>53</v>
      </c>
      <c r="F956" t="s">
        <v>31</v>
      </c>
      <c r="G956" t="s">
        <v>38</v>
      </c>
      <c r="H956" t="s">
        <v>39</v>
      </c>
      <c r="I956">
        <v>1</v>
      </c>
      <c r="J956">
        <v>1565.7</v>
      </c>
      <c r="K956">
        <v>304.22000000000003</v>
      </c>
      <c r="L956">
        <v>15</v>
      </c>
      <c r="M956" t="s">
        <v>28</v>
      </c>
      <c r="N956" t="str">
        <f>TEXT(Table1[[#This Row],[Order Date]],"MMMM")</f>
        <v>July</v>
      </c>
      <c r="O956">
        <f>YEAR(Table1[[#This Row],[Order Date]])</f>
        <v>2025</v>
      </c>
      <c r="P956" t="str">
        <f>"Q"&amp;ROUNDUP(MONTH(Table1[[#This Row],[Order Date]])/3,0)</f>
        <v>Q3</v>
      </c>
      <c r="Q956" s="3">
        <f>Table1[[#This Row],[Profit]]/Table1[[#This Row],[Sales]]</f>
        <v>0.19430286772689534</v>
      </c>
      <c r="R956" t="str">
        <f>IF(Table1[[#This Row],[Sales]]&lt;1000,"LOW",IF(Table1[[#This Row],[Sales]]&lt;5000,"MEDIUM","HIGH"))</f>
        <v>MEDIUM</v>
      </c>
      <c r="S956" s="2">
        <f>Table1[[#This Row],[Discount]]/100</f>
        <v>0.15</v>
      </c>
    </row>
    <row r="957" spans="1:19" x14ac:dyDescent="0.3">
      <c r="A957">
        <v>10956</v>
      </c>
      <c r="B957" s="1" t="s">
        <v>351</v>
      </c>
      <c r="C957" t="s">
        <v>504</v>
      </c>
      <c r="D957" t="s">
        <v>52</v>
      </c>
      <c r="E957" t="s">
        <v>53</v>
      </c>
      <c r="F957" t="s">
        <v>25</v>
      </c>
      <c r="G957" t="s">
        <v>26</v>
      </c>
      <c r="H957" t="s">
        <v>27</v>
      </c>
      <c r="I957">
        <v>6</v>
      </c>
      <c r="J957">
        <v>15022.8</v>
      </c>
      <c r="K957">
        <v>4064.03</v>
      </c>
      <c r="L957">
        <v>10</v>
      </c>
      <c r="M957" t="s">
        <v>20</v>
      </c>
      <c r="N957" t="str">
        <f>TEXT(Table1[[#This Row],[Order Date]],"MMMM")</f>
        <v>May</v>
      </c>
      <c r="O957">
        <f>YEAR(Table1[[#This Row],[Order Date]])</f>
        <v>2025</v>
      </c>
      <c r="P957" t="str">
        <f>"Q"&amp;ROUNDUP(MONTH(Table1[[#This Row],[Order Date]])/3,0)</f>
        <v>Q2</v>
      </c>
      <c r="Q957" s="3">
        <f>Table1[[#This Row],[Profit]]/Table1[[#This Row],[Sales]]</f>
        <v>0.27052413664563202</v>
      </c>
      <c r="R957" t="str">
        <f>IF(Table1[[#This Row],[Sales]]&lt;1000,"LOW",IF(Table1[[#This Row],[Sales]]&lt;5000,"MEDIUM","HIGH"))</f>
        <v>HIGH</v>
      </c>
      <c r="S957" s="2">
        <f>Table1[[#This Row],[Discount]]/100</f>
        <v>0.1</v>
      </c>
    </row>
    <row r="958" spans="1:19" x14ac:dyDescent="0.3">
      <c r="A958">
        <v>10957</v>
      </c>
      <c r="B958" s="1" t="s">
        <v>467</v>
      </c>
      <c r="C958" t="s">
        <v>506</v>
      </c>
      <c r="D958" t="s">
        <v>36</v>
      </c>
      <c r="E958" t="s">
        <v>37</v>
      </c>
      <c r="F958" t="s">
        <v>25</v>
      </c>
      <c r="G958" t="s">
        <v>95</v>
      </c>
      <c r="H958" t="s">
        <v>96</v>
      </c>
      <c r="I958">
        <v>5</v>
      </c>
      <c r="J958">
        <v>10939.5</v>
      </c>
      <c r="K958">
        <v>1939.24</v>
      </c>
      <c r="L958">
        <v>10</v>
      </c>
      <c r="M958" t="s">
        <v>45</v>
      </c>
      <c r="N958" t="str">
        <f>TEXT(Table1[[#This Row],[Order Date]],"MMMM")</f>
        <v>March</v>
      </c>
      <c r="O958">
        <f>YEAR(Table1[[#This Row],[Order Date]])</f>
        <v>2025</v>
      </c>
      <c r="P958" t="str">
        <f>"Q"&amp;ROUNDUP(MONTH(Table1[[#This Row],[Order Date]])/3,0)</f>
        <v>Q1</v>
      </c>
      <c r="Q958" s="3">
        <f>Table1[[#This Row],[Profit]]/Table1[[#This Row],[Sales]]</f>
        <v>0.17726952785776315</v>
      </c>
      <c r="R958" t="str">
        <f>IF(Table1[[#This Row],[Sales]]&lt;1000,"LOW",IF(Table1[[#This Row],[Sales]]&lt;5000,"MEDIUM","HIGH"))</f>
        <v>HIGH</v>
      </c>
      <c r="S958" s="2">
        <f>Table1[[#This Row],[Discount]]/100</f>
        <v>0.1</v>
      </c>
    </row>
    <row r="959" spans="1:19" x14ac:dyDescent="0.3">
      <c r="A959">
        <v>10958</v>
      </c>
      <c r="B959" s="1" t="s">
        <v>101</v>
      </c>
      <c r="C959" t="s">
        <v>283</v>
      </c>
      <c r="D959" t="s">
        <v>23</v>
      </c>
      <c r="E959" t="s">
        <v>24</v>
      </c>
      <c r="F959" t="s">
        <v>17</v>
      </c>
      <c r="G959" t="s">
        <v>18</v>
      </c>
      <c r="H959" t="s">
        <v>19</v>
      </c>
      <c r="I959">
        <v>7</v>
      </c>
      <c r="J959">
        <v>2673.3</v>
      </c>
      <c r="K959">
        <v>530.6</v>
      </c>
      <c r="L959">
        <v>5</v>
      </c>
      <c r="M959" t="s">
        <v>40</v>
      </c>
      <c r="N959" t="str">
        <f>TEXT(Table1[[#This Row],[Order Date]],"MMMM")</f>
        <v>July</v>
      </c>
      <c r="O959">
        <f>YEAR(Table1[[#This Row],[Order Date]])</f>
        <v>2025</v>
      </c>
      <c r="P959" t="str">
        <f>"Q"&amp;ROUNDUP(MONTH(Table1[[#This Row],[Order Date]])/3,0)</f>
        <v>Q3</v>
      </c>
      <c r="Q959" s="3">
        <f>Table1[[#This Row],[Profit]]/Table1[[#This Row],[Sales]]</f>
        <v>0.19848127782141922</v>
      </c>
      <c r="R959" t="str">
        <f>IF(Table1[[#This Row],[Sales]]&lt;1000,"LOW",IF(Table1[[#This Row],[Sales]]&lt;5000,"MEDIUM","HIGH"))</f>
        <v>MEDIUM</v>
      </c>
      <c r="S959" s="2">
        <f>Table1[[#This Row],[Discount]]/100</f>
        <v>0.05</v>
      </c>
    </row>
    <row r="960" spans="1:19" x14ac:dyDescent="0.3">
      <c r="A960">
        <v>10959</v>
      </c>
      <c r="B960" s="1" t="s">
        <v>579</v>
      </c>
      <c r="C960" t="s">
        <v>453</v>
      </c>
      <c r="D960" t="s">
        <v>52</v>
      </c>
      <c r="E960" t="s">
        <v>53</v>
      </c>
      <c r="F960" t="s">
        <v>17</v>
      </c>
      <c r="G960" t="s">
        <v>43</v>
      </c>
      <c r="H960" t="s">
        <v>44</v>
      </c>
      <c r="I960">
        <v>1</v>
      </c>
      <c r="J960">
        <v>1204.45</v>
      </c>
      <c r="K960">
        <v>302.51</v>
      </c>
      <c r="L960">
        <v>15</v>
      </c>
      <c r="M960" t="s">
        <v>49</v>
      </c>
      <c r="N960" t="str">
        <f>TEXT(Table1[[#This Row],[Order Date]],"MMMM")</f>
        <v>May</v>
      </c>
      <c r="O960">
        <f>YEAR(Table1[[#This Row],[Order Date]])</f>
        <v>2025</v>
      </c>
      <c r="P960" t="str">
        <f>"Q"&amp;ROUNDUP(MONTH(Table1[[#This Row],[Order Date]])/3,0)</f>
        <v>Q2</v>
      </c>
      <c r="Q960" s="3">
        <f>Table1[[#This Row],[Profit]]/Table1[[#This Row],[Sales]]</f>
        <v>0.25116028062601187</v>
      </c>
      <c r="R960" t="str">
        <f>IF(Table1[[#This Row],[Sales]]&lt;1000,"LOW",IF(Table1[[#This Row],[Sales]]&lt;5000,"MEDIUM","HIGH"))</f>
        <v>MEDIUM</v>
      </c>
      <c r="S960" s="2">
        <f>Table1[[#This Row],[Discount]]/100</f>
        <v>0.15</v>
      </c>
    </row>
    <row r="961" spans="1:19" x14ac:dyDescent="0.3">
      <c r="A961">
        <v>10960</v>
      </c>
      <c r="B961" s="1" t="s">
        <v>128</v>
      </c>
      <c r="C961" t="s">
        <v>580</v>
      </c>
      <c r="D961" t="s">
        <v>66</v>
      </c>
      <c r="E961" t="s">
        <v>16</v>
      </c>
      <c r="F961" t="s">
        <v>31</v>
      </c>
      <c r="G961" t="s">
        <v>32</v>
      </c>
      <c r="H961" t="s">
        <v>33</v>
      </c>
      <c r="I961">
        <v>5</v>
      </c>
      <c r="J961">
        <v>21250</v>
      </c>
      <c r="K961">
        <v>2431.11</v>
      </c>
      <c r="L961">
        <v>15</v>
      </c>
      <c r="M961" t="s">
        <v>28</v>
      </c>
      <c r="N961" t="str">
        <f>TEXT(Table1[[#This Row],[Order Date]],"MMMM")</f>
        <v>November</v>
      </c>
      <c r="O961">
        <f>YEAR(Table1[[#This Row],[Order Date]])</f>
        <v>2025</v>
      </c>
      <c r="P961" t="str">
        <f>"Q"&amp;ROUNDUP(MONTH(Table1[[#This Row],[Order Date]])/3,0)</f>
        <v>Q4</v>
      </c>
      <c r="Q961" s="3">
        <f>Table1[[#This Row],[Profit]]/Table1[[#This Row],[Sales]]</f>
        <v>0.11440517647058825</v>
      </c>
      <c r="R961" t="str">
        <f>IF(Table1[[#This Row],[Sales]]&lt;1000,"LOW",IF(Table1[[#This Row],[Sales]]&lt;5000,"MEDIUM","HIGH"))</f>
        <v>HIGH</v>
      </c>
      <c r="S961" s="2">
        <f>Table1[[#This Row],[Discount]]/100</f>
        <v>0.15</v>
      </c>
    </row>
    <row r="962" spans="1:19" x14ac:dyDescent="0.3">
      <c r="A962">
        <v>10961</v>
      </c>
      <c r="B962" s="1" t="s">
        <v>458</v>
      </c>
      <c r="C962" t="s">
        <v>184</v>
      </c>
      <c r="D962" t="s">
        <v>56</v>
      </c>
      <c r="E962" t="s">
        <v>57</v>
      </c>
      <c r="F962" t="s">
        <v>25</v>
      </c>
      <c r="G962" t="s">
        <v>26</v>
      </c>
      <c r="H962" t="s">
        <v>71</v>
      </c>
      <c r="I962">
        <v>8</v>
      </c>
      <c r="J962">
        <v>16120</v>
      </c>
      <c r="K962">
        <v>4065.49</v>
      </c>
      <c r="L962">
        <v>0</v>
      </c>
      <c r="M962" t="s">
        <v>28</v>
      </c>
      <c r="N962" t="str">
        <f>TEXT(Table1[[#This Row],[Order Date]],"MMMM")</f>
        <v>September</v>
      </c>
      <c r="O962">
        <f>YEAR(Table1[[#This Row],[Order Date]])</f>
        <v>2025</v>
      </c>
      <c r="P962" t="str">
        <f>"Q"&amp;ROUNDUP(MONTH(Table1[[#This Row],[Order Date]])/3,0)</f>
        <v>Q3</v>
      </c>
      <c r="Q962" s="3">
        <f>Table1[[#This Row],[Profit]]/Table1[[#This Row],[Sales]]</f>
        <v>0.25220161290322579</v>
      </c>
      <c r="R962" t="str">
        <f>IF(Table1[[#This Row],[Sales]]&lt;1000,"LOW",IF(Table1[[#This Row],[Sales]]&lt;5000,"MEDIUM","HIGH"))</f>
        <v>HIGH</v>
      </c>
      <c r="S962" s="2">
        <f>Table1[[#This Row],[Discount]]/100</f>
        <v>0</v>
      </c>
    </row>
    <row r="963" spans="1:19" x14ac:dyDescent="0.3">
      <c r="A963">
        <v>10962</v>
      </c>
      <c r="B963" s="1" t="s">
        <v>483</v>
      </c>
      <c r="C963" t="s">
        <v>156</v>
      </c>
      <c r="D963" t="s">
        <v>56</v>
      </c>
      <c r="E963" t="s">
        <v>57</v>
      </c>
      <c r="F963" t="s">
        <v>25</v>
      </c>
      <c r="G963" t="s">
        <v>26</v>
      </c>
      <c r="H963" t="s">
        <v>48</v>
      </c>
      <c r="I963">
        <v>3</v>
      </c>
      <c r="J963">
        <v>8902.0499999999993</v>
      </c>
      <c r="K963">
        <v>1021.25</v>
      </c>
      <c r="L963">
        <v>15</v>
      </c>
      <c r="M963" t="s">
        <v>45</v>
      </c>
      <c r="N963" t="str">
        <f>TEXT(Table1[[#This Row],[Order Date]],"MMMM")</f>
        <v>December</v>
      </c>
      <c r="O963">
        <f>YEAR(Table1[[#This Row],[Order Date]])</f>
        <v>2025</v>
      </c>
      <c r="P963" t="str">
        <f>"Q"&amp;ROUNDUP(MONTH(Table1[[#This Row],[Order Date]])/3,0)</f>
        <v>Q4</v>
      </c>
      <c r="Q963" s="3">
        <f>Table1[[#This Row],[Profit]]/Table1[[#This Row],[Sales]]</f>
        <v>0.1147207665650047</v>
      </c>
      <c r="R963" t="str">
        <f>IF(Table1[[#This Row],[Sales]]&lt;1000,"LOW",IF(Table1[[#This Row],[Sales]]&lt;5000,"MEDIUM","HIGH"))</f>
        <v>HIGH</v>
      </c>
      <c r="S963" s="2">
        <f>Table1[[#This Row],[Discount]]/100</f>
        <v>0.15</v>
      </c>
    </row>
    <row r="964" spans="1:19" x14ac:dyDescent="0.3">
      <c r="A964">
        <v>10963</v>
      </c>
      <c r="B964" s="1" t="s">
        <v>383</v>
      </c>
      <c r="C964" t="s">
        <v>489</v>
      </c>
      <c r="D964" t="s">
        <v>56</v>
      </c>
      <c r="E964" t="s">
        <v>57</v>
      </c>
      <c r="F964" t="s">
        <v>17</v>
      </c>
      <c r="G964" t="s">
        <v>75</v>
      </c>
      <c r="H964" t="s">
        <v>116</v>
      </c>
      <c r="I964">
        <v>3</v>
      </c>
      <c r="J964">
        <v>13281.3</v>
      </c>
      <c r="K964">
        <v>1587.92</v>
      </c>
      <c r="L964">
        <v>10</v>
      </c>
      <c r="M964" t="s">
        <v>28</v>
      </c>
      <c r="N964" t="str">
        <f>TEXT(Table1[[#This Row],[Order Date]],"MMMM")</f>
        <v>February</v>
      </c>
      <c r="O964">
        <f>YEAR(Table1[[#This Row],[Order Date]])</f>
        <v>2025</v>
      </c>
      <c r="P964" t="str">
        <f>"Q"&amp;ROUNDUP(MONTH(Table1[[#This Row],[Order Date]])/3,0)</f>
        <v>Q1</v>
      </c>
      <c r="Q964" s="3">
        <f>Table1[[#This Row],[Profit]]/Table1[[#This Row],[Sales]]</f>
        <v>0.11956058518367932</v>
      </c>
      <c r="R964" t="str">
        <f>IF(Table1[[#This Row],[Sales]]&lt;1000,"LOW",IF(Table1[[#This Row],[Sales]]&lt;5000,"MEDIUM","HIGH"))</f>
        <v>HIGH</v>
      </c>
      <c r="S964" s="2">
        <f>Table1[[#This Row],[Discount]]/100</f>
        <v>0.1</v>
      </c>
    </row>
    <row r="965" spans="1:19" x14ac:dyDescent="0.3">
      <c r="A965">
        <v>10964</v>
      </c>
      <c r="B965" s="1" t="s">
        <v>149</v>
      </c>
      <c r="C965" t="s">
        <v>100</v>
      </c>
      <c r="D965" t="s">
        <v>15</v>
      </c>
      <c r="E965" t="s">
        <v>16</v>
      </c>
      <c r="F965" t="s">
        <v>25</v>
      </c>
      <c r="G965" t="s">
        <v>26</v>
      </c>
      <c r="H965" t="s">
        <v>71</v>
      </c>
      <c r="I965">
        <v>8</v>
      </c>
      <c r="J965">
        <v>17580.8</v>
      </c>
      <c r="K965">
        <v>1634.08</v>
      </c>
      <c r="L965">
        <v>20</v>
      </c>
      <c r="M965" t="s">
        <v>45</v>
      </c>
      <c r="N965" t="str">
        <f>TEXT(Table1[[#This Row],[Order Date]],"MMMM")</f>
        <v>March</v>
      </c>
      <c r="O965">
        <f>YEAR(Table1[[#This Row],[Order Date]])</f>
        <v>2025</v>
      </c>
      <c r="P965" t="str">
        <f>"Q"&amp;ROUNDUP(MONTH(Table1[[#This Row],[Order Date]])/3,0)</f>
        <v>Q1</v>
      </c>
      <c r="Q965" s="3">
        <f>Table1[[#This Row],[Profit]]/Table1[[#This Row],[Sales]]</f>
        <v>9.2946851110302153E-2</v>
      </c>
      <c r="R965" t="str">
        <f>IF(Table1[[#This Row],[Sales]]&lt;1000,"LOW",IF(Table1[[#This Row],[Sales]]&lt;5000,"MEDIUM","HIGH"))</f>
        <v>HIGH</v>
      </c>
      <c r="S965" s="2">
        <f>Table1[[#This Row],[Discount]]/100</f>
        <v>0.2</v>
      </c>
    </row>
    <row r="966" spans="1:19" x14ac:dyDescent="0.3">
      <c r="A966">
        <v>10965</v>
      </c>
      <c r="B966" s="1" t="s">
        <v>530</v>
      </c>
      <c r="C966" t="s">
        <v>391</v>
      </c>
      <c r="D966" t="s">
        <v>66</v>
      </c>
      <c r="E966" t="s">
        <v>16</v>
      </c>
      <c r="F966" t="s">
        <v>17</v>
      </c>
      <c r="G966" t="s">
        <v>43</v>
      </c>
      <c r="H966" t="s">
        <v>44</v>
      </c>
      <c r="I966">
        <v>3</v>
      </c>
      <c r="J966">
        <v>1354.05</v>
      </c>
      <c r="K966">
        <v>183.73</v>
      </c>
      <c r="L966">
        <v>15</v>
      </c>
      <c r="M966" t="s">
        <v>40</v>
      </c>
      <c r="N966" t="str">
        <f>TEXT(Table1[[#This Row],[Order Date]],"MMMM")</f>
        <v>June</v>
      </c>
      <c r="O966">
        <f>YEAR(Table1[[#This Row],[Order Date]])</f>
        <v>2025</v>
      </c>
      <c r="P966" t="str">
        <f>"Q"&amp;ROUNDUP(MONTH(Table1[[#This Row],[Order Date]])/3,0)</f>
        <v>Q2</v>
      </c>
      <c r="Q966" s="3">
        <f>Table1[[#This Row],[Profit]]/Table1[[#This Row],[Sales]]</f>
        <v>0.1356892286104649</v>
      </c>
      <c r="R966" t="str">
        <f>IF(Table1[[#This Row],[Sales]]&lt;1000,"LOW",IF(Table1[[#This Row],[Sales]]&lt;5000,"MEDIUM","HIGH"))</f>
        <v>MEDIUM</v>
      </c>
      <c r="S966" s="2">
        <f>Table1[[#This Row],[Discount]]/100</f>
        <v>0.15</v>
      </c>
    </row>
    <row r="967" spans="1:19" x14ac:dyDescent="0.3">
      <c r="A967">
        <v>10966</v>
      </c>
      <c r="B967" s="1" t="s">
        <v>176</v>
      </c>
      <c r="C967" t="s">
        <v>184</v>
      </c>
      <c r="D967" t="s">
        <v>36</v>
      </c>
      <c r="E967" t="s">
        <v>37</v>
      </c>
      <c r="F967" t="s">
        <v>31</v>
      </c>
      <c r="G967" t="s">
        <v>38</v>
      </c>
      <c r="H967" t="s">
        <v>39</v>
      </c>
      <c r="I967">
        <v>7</v>
      </c>
      <c r="J967">
        <v>34405</v>
      </c>
      <c r="K967">
        <v>4505.5200000000004</v>
      </c>
      <c r="L967">
        <v>0</v>
      </c>
      <c r="M967" t="s">
        <v>20</v>
      </c>
      <c r="N967" t="str">
        <f>TEXT(Table1[[#This Row],[Order Date]],"MMMM")</f>
        <v>December</v>
      </c>
      <c r="O967">
        <f>YEAR(Table1[[#This Row],[Order Date]])</f>
        <v>2025</v>
      </c>
      <c r="P967" t="str">
        <f>"Q"&amp;ROUNDUP(MONTH(Table1[[#This Row],[Order Date]])/3,0)</f>
        <v>Q4</v>
      </c>
      <c r="Q967" s="3">
        <f>Table1[[#This Row],[Profit]]/Table1[[#This Row],[Sales]]</f>
        <v>0.13095538439180354</v>
      </c>
      <c r="R967" t="str">
        <f>IF(Table1[[#This Row],[Sales]]&lt;1000,"LOW",IF(Table1[[#This Row],[Sales]]&lt;5000,"MEDIUM","HIGH"))</f>
        <v>HIGH</v>
      </c>
      <c r="S967" s="2">
        <f>Table1[[#This Row],[Discount]]/100</f>
        <v>0</v>
      </c>
    </row>
    <row r="968" spans="1:19" x14ac:dyDescent="0.3">
      <c r="A968">
        <v>10967</v>
      </c>
      <c r="B968" s="1" t="s">
        <v>313</v>
      </c>
      <c r="C968" t="s">
        <v>548</v>
      </c>
      <c r="D968" t="s">
        <v>60</v>
      </c>
      <c r="E968" t="s">
        <v>61</v>
      </c>
      <c r="F968" t="s">
        <v>31</v>
      </c>
      <c r="G968" t="s">
        <v>38</v>
      </c>
      <c r="H968" t="s">
        <v>39</v>
      </c>
      <c r="I968">
        <v>8</v>
      </c>
      <c r="J968">
        <v>6544.8</v>
      </c>
      <c r="K968">
        <v>1622.59</v>
      </c>
      <c r="L968">
        <v>10</v>
      </c>
      <c r="M968" t="s">
        <v>28</v>
      </c>
      <c r="N968" t="str">
        <f>TEXT(Table1[[#This Row],[Order Date]],"MMMM")</f>
        <v>November</v>
      </c>
      <c r="O968">
        <f>YEAR(Table1[[#This Row],[Order Date]])</f>
        <v>2025</v>
      </c>
      <c r="P968" t="str">
        <f>"Q"&amp;ROUNDUP(MONTH(Table1[[#This Row],[Order Date]])/3,0)</f>
        <v>Q4</v>
      </c>
      <c r="Q968" s="3">
        <f>Table1[[#This Row],[Profit]]/Table1[[#This Row],[Sales]]</f>
        <v>0.24792048649309373</v>
      </c>
      <c r="R968" t="str">
        <f>IF(Table1[[#This Row],[Sales]]&lt;1000,"LOW",IF(Table1[[#This Row],[Sales]]&lt;5000,"MEDIUM","HIGH"))</f>
        <v>HIGH</v>
      </c>
      <c r="S968" s="2">
        <f>Table1[[#This Row],[Discount]]/100</f>
        <v>0.1</v>
      </c>
    </row>
    <row r="969" spans="1:19" x14ac:dyDescent="0.3">
      <c r="A969">
        <v>10968</v>
      </c>
      <c r="B969" s="1" t="s">
        <v>581</v>
      </c>
      <c r="C969" t="s">
        <v>269</v>
      </c>
      <c r="D969" t="s">
        <v>56</v>
      </c>
      <c r="E969" t="s">
        <v>57</v>
      </c>
      <c r="F969" t="s">
        <v>25</v>
      </c>
      <c r="G969" t="s">
        <v>26</v>
      </c>
      <c r="H969" t="s">
        <v>27</v>
      </c>
      <c r="I969">
        <v>7</v>
      </c>
      <c r="J969">
        <v>22535.1</v>
      </c>
      <c r="K969">
        <v>2899.08</v>
      </c>
      <c r="L969">
        <v>10</v>
      </c>
      <c r="M969" t="s">
        <v>40</v>
      </c>
      <c r="N969" t="str">
        <f>TEXT(Table1[[#This Row],[Order Date]],"MMMM")</f>
        <v>October</v>
      </c>
      <c r="O969">
        <f>YEAR(Table1[[#This Row],[Order Date]])</f>
        <v>2025</v>
      </c>
      <c r="P969" t="str">
        <f>"Q"&amp;ROUNDUP(MONTH(Table1[[#This Row],[Order Date]])/3,0)</f>
        <v>Q4</v>
      </c>
      <c r="Q969" s="3">
        <f>Table1[[#This Row],[Profit]]/Table1[[#This Row],[Sales]]</f>
        <v>0.1286473101960941</v>
      </c>
      <c r="R969" t="str">
        <f>IF(Table1[[#This Row],[Sales]]&lt;1000,"LOW",IF(Table1[[#This Row],[Sales]]&lt;5000,"MEDIUM","HIGH"))</f>
        <v>HIGH</v>
      </c>
      <c r="S969" s="2">
        <f>Table1[[#This Row],[Discount]]/100</f>
        <v>0.1</v>
      </c>
    </row>
    <row r="970" spans="1:19" x14ac:dyDescent="0.3">
      <c r="A970">
        <v>10969</v>
      </c>
      <c r="B970" s="1" t="s">
        <v>29</v>
      </c>
      <c r="C970" t="s">
        <v>341</v>
      </c>
      <c r="D970" t="s">
        <v>52</v>
      </c>
      <c r="E970" t="s">
        <v>53</v>
      </c>
      <c r="F970" t="s">
        <v>17</v>
      </c>
      <c r="G970" t="s">
        <v>18</v>
      </c>
      <c r="H970" t="s">
        <v>19</v>
      </c>
      <c r="I970">
        <v>8</v>
      </c>
      <c r="J970">
        <v>9698.4</v>
      </c>
      <c r="K970">
        <v>2299.0300000000002</v>
      </c>
      <c r="L970">
        <v>10</v>
      </c>
      <c r="M970" t="s">
        <v>45</v>
      </c>
      <c r="N970" t="str">
        <f>TEXT(Table1[[#This Row],[Order Date]],"MMMM")</f>
        <v>July</v>
      </c>
      <c r="O970">
        <f>YEAR(Table1[[#This Row],[Order Date]])</f>
        <v>2025</v>
      </c>
      <c r="P970" t="str">
        <f>"Q"&amp;ROUNDUP(MONTH(Table1[[#This Row],[Order Date]])/3,0)</f>
        <v>Q3</v>
      </c>
      <c r="Q970" s="3">
        <f>Table1[[#This Row],[Profit]]/Table1[[#This Row],[Sales]]</f>
        <v>0.23705250350573293</v>
      </c>
      <c r="R970" t="str">
        <f>IF(Table1[[#This Row],[Sales]]&lt;1000,"LOW",IF(Table1[[#This Row],[Sales]]&lt;5000,"MEDIUM","HIGH"))</f>
        <v>HIGH</v>
      </c>
      <c r="S970" s="2">
        <f>Table1[[#This Row],[Discount]]/100</f>
        <v>0.1</v>
      </c>
    </row>
    <row r="971" spans="1:19" x14ac:dyDescent="0.3">
      <c r="A971">
        <v>10970</v>
      </c>
      <c r="B971" s="1" t="s">
        <v>200</v>
      </c>
      <c r="C971" t="s">
        <v>510</v>
      </c>
      <c r="D971" t="s">
        <v>36</v>
      </c>
      <c r="E971" t="s">
        <v>37</v>
      </c>
      <c r="F971" t="s">
        <v>31</v>
      </c>
      <c r="G971" t="s">
        <v>124</v>
      </c>
      <c r="H971" t="s">
        <v>125</v>
      </c>
      <c r="I971">
        <v>5</v>
      </c>
      <c r="J971">
        <v>19804</v>
      </c>
      <c r="K971">
        <v>2953.95</v>
      </c>
      <c r="L971">
        <v>20</v>
      </c>
      <c r="M971" t="s">
        <v>49</v>
      </c>
      <c r="N971" t="str">
        <f>TEXT(Table1[[#This Row],[Order Date]],"MMMM")</f>
        <v>July</v>
      </c>
      <c r="O971">
        <f>YEAR(Table1[[#This Row],[Order Date]])</f>
        <v>2025</v>
      </c>
      <c r="P971" t="str">
        <f>"Q"&amp;ROUNDUP(MONTH(Table1[[#This Row],[Order Date]])/3,0)</f>
        <v>Q3</v>
      </c>
      <c r="Q971" s="3">
        <f>Table1[[#This Row],[Profit]]/Table1[[#This Row],[Sales]]</f>
        <v>0.14915926075540295</v>
      </c>
      <c r="R971" t="str">
        <f>IF(Table1[[#This Row],[Sales]]&lt;1000,"LOW",IF(Table1[[#This Row],[Sales]]&lt;5000,"MEDIUM","HIGH"))</f>
        <v>HIGH</v>
      </c>
      <c r="S971" s="2">
        <f>Table1[[#This Row],[Discount]]/100</f>
        <v>0.2</v>
      </c>
    </row>
    <row r="972" spans="1:19" x14ac:dyDescent="0.3">
      <c r="A972">
        <v>10971</v>
      </c>
      <c r="B972" s="1" t="s">
        <v>83</v>
      </c>
      <c r="C972" t="s">
        <v>146</v>
      </c>
      <c r="D972" t="s">
        <v>36</v>
      </c>
      <c r="E972" t="s">
        <v>37</v>
      </c>
      <c r="F972" t="s">
        <v>25</v>
      </c>
      <c r="G972" t="s">
        <v>26</v>
      </c>
      <c r="H972" t="s">
        <v>71</v>
      </c>
      <c r="I972">
        <v>2</v>
      </c>
      <c r="J972">
        <v>2574.5</v>
      </c>
      <c r="K972">
        <v>309.83999999999997</v>
      </c>
      <c r="L972">
        <v>5</v>
      </c>
      <c r="M972" t="s">
        <v>40</v>
      </c>
      <c r="N972" t="str">
        <f>TEXT(Table1[[#This Row],[Order Date]],"MMMM")</f>
        <v>January</v>
      </c>
      <c r="O972">
        <f>YEAR(Table1[[#This Row],[Order Date]])</f>
        <v>2025</v>
      </c>
      <c r="P972" t="str">
        <f>"Q"&amp;ROUNDUP(MONTH(Table1[[#This Row],[Order Date]])/3,0)</f>
        <v>Q1</v>
      </c>
      <c r="Q972" s="3">
        <f>Table1[[#This Row],[Profit]]/Table1[[#This Row],[Sales]]</f>
        <v>0.12034958244319284</v>
      </c>
      <c r="R972" t="str">
        <f>IF(Table1[[#This Row],[Sales]]&lt;1000,"LOW",IF(Table1[[#This Row],[Sales]]&lt;5000,"MEDIUM","HIGH"))</f>
        <v>MEDIUM</v>
      </c>
      <c r="S972" s="2">
        <f>Table1[[#This Row],[Discount]]/100</f>
        <v>0.05</v>
      </c>
    </row>
    <row r="973" spans="1:19" x14ac:dyDescent="0.3">
      <c r="A973">
        <v>10972</v>
      </c>
      <c r="B973" s="1" t="s">
        <v>247</v>
      </c>
      <c r="C973" t="s">
        <v>109</v>
      </c>
      <c r="D973" t="s">
        <v>23</v>
      </c>
      <c r="E973" t="s">
        <v>24</v>
      </c>
      <c r="F973" t="s">
        <v>25</v>
      </c>
      <c r="G973" t="s">
        <v>95</v>
      </c>
      <c r="H973" t="s">
        <v>96</v>
      </c>
      <c r="I973">
        <v>2</v>
      </c>
      <c r="J973">
        <v>8649</v>
      </c>
      <c r="K973">
        <v>1996.09</v>
      </c>
      <c r="L973">
        <v>10</v>
      </c>
      <c r="M973" t="s">
        <v>28</v>
      </c>
      <c r="N973" t="str">
        <f>TEXT(Table1[[#This Row],[Order Date]],"MMMM")</f>
        <v>May</v>
      </c>
      <c r="O973">
        <f>YEAR(Table1[[#This Row],[Order Date]])</f>
        <v>2025</v>
      </c>
      <c r="P973" t="str">
        <f>"Q"&amp;ROUNDUP(MONTH(Table1[[#This Row],[Order Date]])/3,0)</f>
        <v>Q2</v>
      </c>
      <c r="Q973" s="3">
        <f>Table1[[#This Row],[Profit]]/Table1[[#This Row],[Sales]]</f>
        <v>0.2307885304659498</v>
      </c>
      <c r="R973" t="str">
        <f>IF(Table1[[#This Row],[Sales]]&lt;1000,"LOW",IF(Table1[[#This Row],[Sales]]&lt;5000,"MEDIUM","HIGH"))</f>
        <v>HIGH</v>
      </c>
      <c r="S973" s="2">
        <f>Table1[[#This Row],[Discount]]/100</f>
        <v>0.1</v>
      </c>
    </row>
    <row r="974" spans="1:19" x14ac:dyDescent="0.3">
      <c r="A974">
        <v>10973</v>
      </c>
      <c r="B974" s="1" t="s">
        <v>533</v>
      </c>
      <c r="C974" t="s">
        <v>123</v>
      </c>
      <c r="D974" t="s">
        <v>23</v>
      </c>
      <c r="E974" t="s">
        <v>24</v>
      </c>
      <c r="F974" t="s">
        <v>31</v>
      </c>
      <c r="G974" t="s">
        <v>38</v>
      </c>
      <c r="H974" t="s">
        <v>39</v>
      </c>
      <c r="I974">
        <v>6</v>
      </c>
      <c r="J974">
        <v>12106.8</v>
      </c>
      <c r="K974">
        <v>3263.86</v>
      </c>
      <c r="L974">
        <v>5</v>
      </c>
      <c r="M974" t="s">
        <v>45</v>
      </c>
      <c r="N974" t="str">
        <f>TEXT(Table1[[#This Row],[Order Date]],"MMMM")</f>
        <v>January</v>
      </c>
      <c r="O974">
        <f>YEAR(Table1[[#This Row],[Order Date]])</f>
        <v>2025</v>
      </c>
      <c r="P974" t="str">
        <f>"Q"&amp;ROUNDUP(MONTH(Table1[[#This Row],[Order Date]])/3,0)</f>
        <v>Q1</v>
      </c>
      <c r="Q974" s="3">
        <f>Table1[[#This Row],[Profit]]/Table1[[#This Row],[Sales]]</f>
        <v>0.26958899131066844</v>
      </c>
      <c r="R974" t="str">
        <f>IF(Table1[[#This Row],[Sales]]&lt;1000,"LOW",IF(Table1[[#This Row],[Sales]]&lt;5000,"MEDIUM","HIGH"))</f>
        <v>HIGH</v>
      </c>
      <c r="S974" s="2">
        <f>Table1[[#This Row],[Discount]]/100</f>
        <v>0.05</v>
      </c>
    </row>
    <row r="975" spans="1:19" x14ac:dyDescent="0.3">
      <c r="A975">
        <v>10974</v>
      </c>
      <c r="B975" s="1" t="s">
        <v>468</v>
      </c>
      <c r="C975" t="s">
        <v>326</v>
      </c>
      <c r="D975" t="s">
        <v>23</v>
      </c>
      <c r="E975" t="s">
        <v>24</v>
      </c>
      <c r="F975" t="s">
        <v>17</v>
      </c>
      <c r="G975" t="s">
        <v>43</v>
      </c>
      <c r="H975" t="s">
        <v>44</v>
      </c>
      <c r="I975">
        <v>2</v>
      </c>
      <c r="J975">
        <v>3009.6</v>
      </c>
      <c r="K975">
        <v>877.9</v>
      </c>
      <c r="L975">
        <v>5</v>
      </c>
      <c r="M975" t="s">
        <v>40</v>
      </c>
      <c r="N975" t="str">
        <f>TEXT(Table1[[#This Row],[Order Date]],"MMMM")</f>
        <v>March</v>
      </c>
      <c r="O975">
        <f>YEAR(Table1[[#This Row],[Order Date]])</f>
        <v>2025</v>
      </c>
      <c r="P975" t="str">
        <f>"Q"&amp;ROUNDUP(MONTH(Table1[[#This Row],[Order Date]])/3,0)</f>
        <v>Q1</v>
      </c>
      <c r="Q975" s="3">
        <f>Table1[[#This Row],[Profit]]/Table1[[#This Row],[Sales]]</f>
        <v>0.2916998936735779</v>
      </c>
      <c r="R975" t="str">
        <f>IF(Table1[[#This Row],[Sales]]&lt;1000,"LOW",IF(Table1[[#This Row],[Sales]]&lt;5000,"MEDIUM","HIGH"))</f>
        <v>MEDIUM</v>
      </c>
      <c r="S975" s="2">
        <f>Table1[[#This Row],[Discount]]/100</f>
        <v>0.05</v>
      </c>
    </row>
    <row r="976" spans="1:19" x14ac:dyDescent="0.3">
      <c r="A976">
        <v>10975</v>
      </c>
      <c r="B976" s="1" t="s">
        <v>54</v>
      </c>
      <c r="C976" t="s">
        <v>251</v>
      </c>
      <c r="D976" t="s">
        <v>66</v>
      </c>
      <c r="E976" t="s">
        <v>16</v>
      </c>
      <c r="F976" t="s">
        <v>25</v>
      </c>
      <c r="G976" t="s">
        <v>26</v>
      </c>
      <c r="H976" t="s">
        <v>71</v>
      </c>
      <c r="I976">
        <v>3</v>
      </c>
      <c r="J976">
        <v>7302</v>
      </c>
      <c r="K976">
        <v>1270.3800000000001</v>
      </c>
      <c r="L976">
        <v>0</v>
      </c>
      <c r="M976" t="s">
        <v>20</v>
      </c>
      <c r="N976" t="str">
        <f>TEXT(Table1[[#This Row],[Order Date]],"MMMM")</f>
        <v>February</v>
      </c>
      <c r="O976">
        <f>YEAR(Table1[[#This Row],[Order Date]])</f>
        <v>2025</v>
      </c>
      <c r="P976" t="str">
        <f>"Q"&amp;ROUNDUP(MONTH(Table1[[#This Row],[Order Date]])/3,0)</f>
        <v>Q1</v>
      </c>
      <c r="Q976" s="3">
        <f>Table1[[#This Row],[Profit]]/Table1[[#This Row],[Sales]]</f>
        <v>0.17397699260476585</v>
      </c>
      <c r="R976" t="str">
        <f>IF(Table1[[#This Row],[Sales]]&lt;1000,"LOW",IF(Table1[[#This Row],[Sales]]&lt;5000,"MEDIUM","HIGH"))</f>
        <v>HIGH</v>
      </c>
      <c r="S976" s="2">
        <f>Table1[[#This Row],[Discount]]/100</f>
        <v>0</v>
      </c>
    </row>
    <row r="977" spans="1:19" x14ac:dyDescent="0.3">
      <c r="A977">
        <v>10976</v>
      </c>
      <c r="B977" s="1" t="s">
        <v>126</v>
      </c>
      <c r="C977" t="s">
        <v>544</v>
      </c>
      <c r="D977" t="s">
        <v>74</v>
      </c>
      <c r="E977" t="s">
        <v>74</v>
      </c>
      <c r="F977" t="s">
        <v>31</v>
      </c>
      <c r="G977" t="s">
        <v>38</v>
      </c>
      <c r="H977" t="s">
        <v>39</v>
      </c>
      <c r="I977">
        <v>2</v>
      </c>
      <c r="J977">
        <v>1700</v>
      </c>
      <c r="K977">
        <v>479.34</v>
      </c>
      <c r="L977">
        <v>15</v>
      </c>
      <c r="M977" t="s">
        <v>40</v>
      </c>
      <c r="N977" t="str">
        <f>TEXT(Table1[[#This Row],[Order Date]],"MMMM")</f>
        <v>June</v>
      </c>
      <c r="O977">
        <f>YEAR(Table1[[#This Row],[Order Date]])</f>
        <v>2025</v>
      </c>
      <c r="P977" t="str">
        <f>"Q"&amp;ROUNDUP(MONTH(Table1[[#This Row],[Order Date]])/3,0)</f>
        <v>Q2</v>
      </c>
      <c r="Q977" s="3">
        <f>Table1[[#This Row],[Profit]]/Table1[[#This Row],[Sales]]</f>
        <v>0.28196470588235295</v>
      </c>
      <c r="R977" t="str">
        <f>IF(Table1[[#This Row],[Sales]]&lt;1000,"LOW",IF(Table1[[#This Row],[Sales]]&lt;5000,"MEDIUM","HIGH"))</f>
        <v>MEDIUM</v>
      </c>
      <c r="S977" s="2">
        <f>Table1[[#This Row],[Discount]]/100</f>
        <v>0.15</v>
      </c>
    </row>
    <row r="978" spans="1:19" x14ac:dyDescent="0.3">
      <c r="A978">
        <v>10977</v>
      </c>
      <c r="B978" s="1" t="s">
        <v>329</v>
      </c>
      <c r="C978" t="s">
        <v>582</v>
      </c>
      <c r="D978" t="s">
        <v>23</v>
      </c>
      <c r="E978" t="s">
        <v>24</v>
      </c>
      <c r="F978" t="s">
        <v>17</v>
      </c>
      <c r="G978" t="s">
        <v>43</v>
      </c>
      <c r="H978" t="s">
        <v>44</v>
      </c>
      <c r="I978">
        <v>4</v>
      </c>
      <c r="J978">
        <v>13232.8</v>
      </c>
      <c r="K978">
        <v>1680.82</v>
      </c>
      <c r="L978">
        <v>15</v>
      </c>
      <c r="M978" t="s">
        <v>49</v>
      </c>
      <c r="N978" t="str">
        <f>TEXT(Table1[[#This Row],[Order Date]],"MMMM")</f>
        <v>August</v>
      </c>
      <c r="O978">
        <f>YEAR(Table1[[#This Row],[Order Date]])</f>
        <v>2025</v>
      </c>
      <c r="P978" t="str">
        <f>"Q"&amp;ROUNDUP(MONTH(Table1[[#This Row],[Order Date]])/3,0)</f>
        <v>Q3</v>
      </c>
      <c r="Q978" s="3">
        <f>Table1[[#This Row],[Profit]]/Table1[[#This Row],[Sales]]</f>
        <v>0.12701922495616952</v>
      </c>
      <c r="R978" t="str">
        <f>IF(Table1[[#This Row],[Sales]]&lt;1000,"LOW",IF(Table1[[#This Row],[Sales]]&lt;5000,"MEDIUM","HIGH"))</f>
        <v>HIGH</v>
      </c>
      <c r="S978" s="2">
        <f>Table1[[#This Row],[Discount]]/100</f>
        <v>0.15</v>
      </c>
    </row>
    <row r="979" spans="1:19" x14ac:dyDescent="0.3">
      <c r="A979">
        <v>10978</v>
      </c>
      <c r="B979" s="1" t="s">
        <v>423</v>
      </c>
      <c r="C979" t="s">
        <v>364</v>
      </c>
      <c r="D979" t="s">
        <v>56</v>
      </c>
      <c r="E979" t="s">
        <v>57</v>
      </c>
      <c r="F979" t="s">
        <v>17</v>
      </c>
      <c r="G979" t="s">
        <v>43</v>
      </c>
      <c r="H979" t="s">
        <v>44</v>
      </c>
      <c r="I979">
        <v>7</v>
      </c>
      <c r="J979">
        <v>7401.8</v>
      </c>
      <c r="K979">
        <v>1104.1400000000001</v>
      </c>
      <c r="L979">
        <v>15</v>
      </c>
      <c r="M979" t="s">
        <v>20</v>
      </c>
      <c r="N979" t="str">
        <f>TEXT(Table1[[#This Row],[Order Date]],"MMMM")</f>
        <v>April</v>
      </c>
      <c r="O979">
        <f>YEAR(Table1[[#This Row],[Order Date]])</f>
        <v>2025</v>
      </c>
      <c r="P979" t="str">
        <f>"Q"&amp;ROUNDUP(MONTH(Table1[[#This Row],[Order Date]])/3,0)</f>
        <v>Q2</v>
      </c>
      <c r="Q979" s="3">
        <f>Table1[[#This Row],[Profit]]/Table1[[#This Row],[Sales]]</f>
        <v>0.14917182307006405</v>
      </c>
      <c r="R979" t="str">
        <f>IF(Table1[[#This Row],[Sales]]&lt;1000,"LOW",IF(Table1[[#This Row],[Sales]]&lt;5000,"MEDIUM","HIGH"))</f>
        <v>HIGH</v>
      </c>
      <c r="S979" s="2">
        <f>Table1[[#This Row],[Discount]]/100</f>
        <v>0.15</v>
      </c>
    </row>
    <row r="980" spans="1:19" x14ac:dyDescent="0.3">
      <c r="A980">
        <v>10979</v>
      </c>
      <c r="B980" s="1" t="s">
        <v>418</v>
      </c>
      <c r="C980" t="s">
        <v>141</v>
      </c>
      <c r="D980" t="s">
        <v>74</v>
      </c>
      <c r="E980" t="s">
        <v>74</v>
      </c>
      <c r="F980" t="s">
        <v>25</v>
      </c>
      <c r="G980" t="s">
        <v>95</v>
      </c>
      <c r="H980" t="s">
        <v>96</v>
      </c>
      <c r="I980">
        <v>1</v>
      </c>
      <c r="J980">
        <v>294.95</v>
      </c>
      <c r="K980">
        <v>51.32</v>
      </c>
      <c r="L980">
        <v>15</v>
      </c>
      <c r="M980" t="s">
        <v>28</v>
      </c>
      <c r="N980" t="str">
        <f>TEXT(Table1[[#This Row],[Order Date]],"MMMM")</f>
        <v>November</v>
      </c>
      <c r="O980">
        <f>YEAR(Table1[[#This Row],[Order Date]])</f>
        <v>2025</v>
      </c>
      <c r="P980" t="str">
        <f>"Q"&amp;ROUNDUP(MONTH(Table1[[#This Row],[Order Date]])/3,0)</f>
        <v>Q4</v>
      </c>
      <c r="Q980" s="3">
        <f>Table1[[#This Row],[Profit]]/Table1[[#This Row],[Sales]]</f>
        <v>0.17399559247330057</v>
      </c>
      <c r="R980" t="str">
        <f>IF(Table1[[#This Row],[Sales]]&lt;1000,"LOW",IF(Table1[[#This Row],[Sales]]&lt;5000,"MEDIUM","HIGH"))</f>
        <v>LOW</v>
      </c>
      <c r="S980" s="2">
        <f>Table1[[#This Row],[Discount]]/100</f>
        <v>0.15</v>
      </c>
    </row>
    <row r="981" spans="1:19" x14ac:dyDescent="0.3">
      <c r="A981">
        <v>10980</v>
      </c>
      <c r="B981" s="1" t="s">
        <v>462</v>
      </c>
      <c r="C981" t="s">
        <v>531</v>
      </c>
      <c r="D981" t="s">
        <v>52</v>
      </c>
      <c r="E981" t="s">
        <v>53</v>
      </c>
      <c r="F981" t="s">
        <v>31</v>
      </c>
      <c r="G981" t="s">
        <v>38</v>
      </c>
      <c r="H981" t="s">
        <v>39</v>
      </c>
      <c r="I981">
        <v>8</v>
      </c>
      <c r="J981">
        <v>23244.799999999999</v>
      </c>
      <c r="K981">
        <v>5036.1899999999996</v>
      </c>
      <c r="L981">
        <v>20</v>
      </c>
      <c r="M981" t="s">
        <v>40</v>
      </c>
      <c r="N981" t="str">
        <f>TEXT(Table1[[#This Row],[Order Date]],"MMMM")</f>
        <v>May</v>
      </c>
      <c r="O981">
        <f>YEAR(Table1[[#This Row],[Order Date]])</f>
        <v>2025</v>
      </c>
      <c r="P981" t="str">
        <f>"Q"&amp;ROUNDUP(MONTH(Table1[[#This Row],[Order Date]])/3,0)</f>
        <v>Q2</v>
      </c>
      <c r="Q981" s="3">
        <f>Table1[[#This Row],[Profit]]/Table1[[#This Row],[Sales]]</f>
        <v>0.2166587795980176</v>
      </c>
      <c r="R981" t="str">
        <f>IF(Table1[[#This Row],[Sales]]&lt;1000,"LOW",IF(Table1[[#This Row],[Sales]]&lt;5000,"MEDIUM","HIGH"))</f>
        <v>HIGH</v>
      </c>
      <c r="S981" s="2">
        <f>Table1[[#This Row],[Discount]]/100</f>
        <v>0.2</v>
      </c>
    </row>
    <row r="982" spans="1:19" x14ac:dyDescent="0.3">
      <c r="A982">
        <v>10981</v>
      </c>
      <c r="B982" s="1" t="s">
        <v>434</v>
      </c>
      <c r="C982" t="s">
        <v>182</v>
      </c>
      <c r="D982" t="s">
        <v>74</v>
      </c>
      <c r="E982" t="s">
        <v>74</v>
      </c>
      <c r="F982" t="s">
        <v>25</v>
      </c>
      <c r="G982" t="s">
        <v>26</v>
      </c>
      <c r="H982" t="s">
        <v>48</v>
      </c>
      <c r="I982">
        <v>1</v>
      </c>
      <c r="J982">
        <v>3468.85</v>
      </c>
      <c r="K982">
        <v>570.03</v>
      </c>
      <c r="L982">
        <v>15</v>
      </c>
      <c r="M982" t="s">
        <v>45</v>
      </c>
      <c r="N982" t="str">
        <f>TEXT(Table1[[#This Row],[Order Date]],"MMMM")</f>
        <v>June</v>
      </c>
      <c r="O982">
        <f>YEAR(Table1[[#This Row],[Order Date]])</f>
        <v>2025</v>
      </c>
      <c r="P982" t="str">
        <f>"Q"&amp;ROUNDUP(MONTH(Table1[[#This Row],[Order Date]])/3,0)</f>
        <v>Q2</v>
      </c>
      <c r="Q982" s="3">
        <f>Table1[[#This Row],[Profit]]/Table1[[#This Row],[Sales]]</f>
        <v>0.16432823558239762</v>
      </c>
      <c r="R982" t="str">
        <f>IF(Table1[[#This Row],[Sales]]&lt;1000,"LOW",IF(Table1[[#This Row],[Sales]]&lt;5000,"MEDIUM","HIGH"))</f>
        <v>MEDIUM</v>
      </c>
      <c r="S982" s="2">
        <f>Table1[[#This Row],[Discount]]/100</f>
        <v>0.15</v>
      </c>
    </row>
    <row r="983" spans="1:19" x14ac:dyDescent="0.3">
      <c r="A983">
        <v>10982</v>
      </c>
      <c r="B983" s="1" t="s">
        <v>583</v>
      </c>
      <c r="C983" t="s">
        <v>571</v>
      </c>
      <c r="D983" t="s">
        <v>15</v>
      </c>
      <c r="E983" t="s">
        <v>16</v>
      </c>
      <c r="F983" t="s">
        <v>17</v>
      </c>
      <c r="G983" t="s">
        <v>43</v>
      </c>
      <c r="H983" t="s">
        <v>44</v>
      </c>
      <c r="I983">
        <v>1</v>
      </c>
      <c r="J983">
        <v>3045.55</v>
      </c>
      <c r="K983">
        <v>891.37</v>
      </c>
      <c r="L983">
        <v>15</v>
      </c>
      <c r="M983" t="s">
        <v>49</v>
      </c>
      <c r="N983" t="str">
        <f>TEXT(Table1[[#This Row],[Order Date]],"MMMM")</f>
        <v>January</v>
      </c>
      <c r="O983">
        <f>YEAR(Table1[[#This Row],[Order Date]])</f>
        <v>2025</v>
      </c>
      <c r="P983" t="str">
        <f>"Q"&amp;ROUNDUP(MONTH(Table1[[#This Row],[Order Date]])/3,0)</f>
        <v>Q1</v>
      </c>
      <c r="Q983" s="3">
        <f>Table1[[#This Row],[Profit]]/Table1[[#This Row],[Sales]]</f>
        <v>0.2926794831803779</v>
      </c>
      <c r="R983" t="str">
        <f>IF(Table1[[#This Row],[Sales]]&lt;1000,"LOW",IF(Table1[[#This Row],[Sales]]&lt;5000,"MEDIUM","HIGH"))</f>
        <v>MEDIUM</v>
      </c>
      <c r="S983" s="2">
        <f>Table1[[#This Row],[Discount]]/100</f>
        <v>0.15</v>
      </c>
    </row>
    <row r="984" spans="1:19" x14ac:dyDescent="0.3">
      <c r="A984">
        <v>10983</v>
      </c>
      <c r="B984" s="1" t="s">
        <v>176</v>
      </c>
      <c r="C984" t="s">
        <v>511</v>
      </c>
      <c r="D984" t="s">
        <v>66</v>
      </c>
      <c r="E984" t="s">
        <v>16</v>
      </c>
      <c r="F984" t="s">
        <v>17</v>
      </c>
      <c r="G984" t="s">
        <v>75</v>
      </c>
      <c r="H984" t="s">
        <v>76</v>
      </c>
      <c r="I984">
        <v>3</v>
      </c>
      <c r="J984">
        <v>3177.6</v>
      </c>
      <c r="K984">
        <v>366.26</v>
      </c>
      <c r="L984">
        <v>20</v>
      </c>
      <c r="M984" t="s">
        <v>28</v>
      </c>
      <c r="N984" t="str">
        <f>TEXT(Table1[[#This Row],[Order Date]],"MMMM")</f>
        <v>December</v>
      </c>
      <c r="O984">
        <f>YEAR(Table1[[#This Row],[Order Date]])</f>
        <v>2025</v>
      </c>
      <c r="P984" t="str">
        <f>"Q"&amp;ROUNDUP(MONTH(Table1[[#This Row],[Order Date]])/3,0)</f>
        <v>Q4</v>
      </c>
      <c r="Q984" s="3">
        <f>Table1[[#This Row],[Profit]]/Table1[[#This Row],[Sales]]</f>
        <v>0.11526309164149043</v>
      </c>
      <c r="R984" t="str">
        <f>IF(Table1[[#This Row],[Sales]]&lt;1000,"LOW",IF(Table1[[#This Row],[Sales]]&lt;5000,"MEDIUM","HIGH"))</f>
        <v>MEDIUM</v>
      </c>
      <c r="S984" s="2">
        <f>Table1[[#This Row],[Discount]]/100</f>
        <v>0.2</v>
      </c>
    </row>
    <row r="985" spans="1:19" x14ac:dyDescent="0.3">
      <c r="A985">
        <v>10984</v>
      </c>
      <c r="B985" s="1" t="s">
        <v>110</v>
      </c>
      <c r="C985" t="s">
        <v>223</v>
      </c>
      <c r="D985" t="s">
        <v>36</v>
      </c>
      <c r="E985" t="s">
        <v>37</v>
      </c>
      <c r="F985" t="s">
        <v>17</v>
      </c>
      <c r="G985" t="s">
        <v>75</v>
      </c>
      <c r="H985" t="s">
        <v>76</v>
      </c>
      <c r="I985">
        <v>1</v>
      </c>
      <c r="J985">
        <v>4435.2</v>
      </c>
      <c r="K985">
        <v>398.22</v>
      </c>
      <c r="L985">
        <v>10</v>
      </c>
      <c r="M985" t="s">
        <v>20</v>
      </c>
      <c r="N985" t="str">
        <f>TEXT(Table1[[#This Row],[Order Date]],"MMMM")</f>
        <v>April</v>
      </c>
      <c r="O985">
        <f>YEAR(Table1[[#This Row],[Order Date]])</f>
        <v>2025</v>
      </c>
      <c r="P985" t="str">
        <f>"Q"&amp;ROUNDUP(MONTH(Table1[[#This Row],[Order Date]])/3,0)</f>
        <v>Q2</v>
      </c>
      <c r="Q985" s="3">
        <f>Table1[[#This Row],[Profit]]/Table1[[#This Row],[Sales]]</f>
        <v>8.9786255411255428E-2</v>
      </c>
      <c r="R985" t="str">
        <f>IF(Table1[[#This Row],[Sales]]&lt;1000,"LOW",IF(Table1[[#This Row],[Sales]]&lt;5000,"MEDIUM","HIGH"))</f>
        <v>MEDIUM</v>
      </c>
      <c r="S985" s="2">
        <f>Table1[[#This Row],[Discount]]/100</f>
        <v>0.1</v>
      </c>
    </row>
    <row r="986" spans="1:19" x14ac:dyDescent="0.3">
      <c r="A986">
        <v>10985</v>
      </c>
      <c r="B986" s="1" t="s">
        <v>321</v>
      </c>
      <c r="C986" t="s">
        <v>42</v>
      </c>
      <c r="D986" t="s">
        <v>60</v>
      </c>
      <c r="E986" t="s">
        <v>61</v>
      </c>
      <c r="F986" t="s">
        <v>25</v>
      </c>
      <c r="G986" t="s">
        <v>26</v>
      </c>
      <c r="H986" t="s">
        <v>48</v>
      </c>
      <c r="I986">
        <v>3</v>
      </c>
      <c r="J986">
        <v>6947.1</v>
      </c>
      <c r="K986">
        <v>1561.36</v>
      </c>
      <c r="L986">
        <v>10</v>
      </c>
      <c r="M986" t="s">
        <v>28</v>
      </c>
      <c r="N986" t="str">
        <f>TEXT(Table1[[#This Row],[Order Date]],"MMMM")</f>
        <v>March</v>
      </c>
      <c r="O986">
        <f>YEAR(Table1[[#This Row],[Order Date]])</f>
        <v>2025</v>
      </c>
      <c r="P986" t="str">
        <f>"Q"&amp;ROUNDUP(MONTH(Table1[[#This Row],[Order Date]])/3,0)</f>
        <v>Q1</v>
      </c>
      <c r="Q986" s="3">
        <f>Table1[[#This Row],[Profit]]/Table1[[#This Row],[Sales]]</f>
        <v>0.22474989563990727</v>
      </c>
      <c r="R986" t="str">
        <f>IF(Table1[[#This Row],[Sales]]&lt;1000,"LOW",IF(Table1[[#This Row],[Sales]]&lt;5000,"MEDIUM","HIGH"))</f>
        <v>HIGH</v>
      </c>
      <c r="S986" s="2">
        <f>Table1[[#This Row],[Discount]]/100</f>
        <v>0.1</v>
      </c>
    </row>
    <row r="987" spans="1:19" x14ac:dyDescent="0.3">
      <c r="A987">
        <v>10986</v>
      </c>
      <c r="B987" s="1" t="s">
        <v>584</v>
      </c>
      <c r="C987" t="s">
        <v>244</v>
      </c>
      <c r="D987" t="s">
        <v>23</v>
      </c>
      <c r="E987" t="s">
        <v>24</v>
      </c>
      <c r="F987" t="s">
        <v>25</v>
      </c>
      <c r="G987" t="s">
        <v>26</v>
      </c>
      <c r="H987" t="s">
        <v>48</v>
      </c>
      <c r="I987">
        <v>4</v>
      </c>
      <c r="J987">
        <v>4528</v>
      </c>
      <c r="K987">
        <v>808.29</v>
      </c>
      <c r="L987">
        <v>0</v>
      </c>
      <c r="M987" t="s">
        <v>40</v>
      </c>
      <c r="N987" t="str">
        <f>TEXT(Table1[[#This Row],[Order Date]],"MMMM")</f>
        <v>January</v>
      </c>
      <c r="O987">
        <f>YEAR(Table1[[#This Row],[Order Date]])</f>
        <v>2025</v>
      </c>
      <c r="P987" t="str">
        <f>"Q"&amp;ROUNDUP(MONTH(Table1[[#This Row],[Order Date]])/3,0)</f>
        <v>Q1</v>
      </c>
      <c r="Q987" s="3">
        <f>Table1[[#This Row],[Profit]]/Table1[[#This Row],[Sales]]</f>
        <v>0.17850927561837454</v>
      </c>
      <c r="R987" t="str">
        <f>IF(Table1[[#This Row],[Sales]]&lt;1000,"LOW",IF(Table1[[#This Row],[Sales]]&lt;5000,"MEDIUM","HIGH"))</f>
        <v>MEDIUM</v>
      </c>
      <c r="S987" s="2">
        <f>Table1[[#This Row],[Discount]]/100</f>
        <v>0</v>
      </c>
    </row>
    <row r="988" spans="1:19" x14ac:dyDescent="0.3">
      <c r="A988">
        <v>10987</v>
      </c>
      <c r="B988" s="1" t="s">
        <v>62</v>
      </c>
      <c r="C988" t="s">
        <v>249</v>
      </c>
      <c r="D988" t="s">
        <v>15</v>
      </c>
      <c r="E988" t="s">
        <v>16</v>
      </c>
      <c r="F988" t="s">
        <v>31</v>
      </c>
      <c r="G988" t="s">
        <v>124</v>
      </c>
      <c r="H988" t="s">
        <v>125</v>
      </c>
      <c r="I988">
        <v>3</v>
      </c>
      <c r="J988">
        <v>3234.6</v>
      </c>
      <c r="K988">
        <v>341.3</v>
      </c>
      <c r="L988">
        <v>10</v>
      </c>
      <c r="M988" t="s">
        <v>49</v>
      </c>
      <c r="N988" t="str">
        <f>TEXT(Table1[[#This Row],[Order Date]],"MMMM")</f>
        <v>May</v>
      </c>
      <c r="O988">
        <f>YEAR(Table1[[#This Row],[Order Date]])</f>
        <v>2025</v>
      </c>
      <c r="P988" t="str">
        <f>"Q"&amp;ROUNDUP(MONTH(Table1[[#This Row],[Order Date]])/3,0)</f>
        <v>Q2</v>
      </c>
      <c r="Q988" s="3">
        <f>Table1[[#This Row],[Profit]]/Table1[[#This Row],[Sales]]</f>
        <v>0.10551536511469733</v>
      </c>
      <c r="R988" t="str">
        <f>IF(Table1[[#This Row],[Sales]]&lt;1000,"LOW",IF(Table1[[#This Row],[Sales]]&lt;5000,"MEDIUM","HIGH"))</f>
        <v>MEDIUM</v>
      </c>
      <c r="S988" s="2">
        <f>Table1[[#This Row],[Discount]]/100</f>
        <v>0.1</v>
      </c>
    </row>
    <row r="989" spans="1:19" x14ac:dyDescent="0.3">
      <c r="A989">
        <v>10988</v>
      </c>
      <c r="B989" s="1" t="s">
        <v>316</v>
      </c>
      <c r="C989" t="s">
        <v>180</v>
      </c>
      <c r="D989" t="s">
        <v>66</v>
      </c>
      <c r="E989" t="s">
        <v>16</v>
      </c>
      <c r="F989" t="s">
        <v>25</v>
      </c>
      <c r="G989" t="s">
        <v>26</v>
      </c>
      <c r="H989" t="s">
        <v>71</v>
      </c>
      <c r="I989">
        <v>1</v>
      </c>
      <c r="J989">
        <v>3436</v>
      </c>
      <c r="K989">
        <v>424.43</v>
      </c>
      <c r="L989">
        <v>0</v>
      </c>
      <c r="M989" t="s">
        <v>40</v>
      </c>
      <c r="N989" t="str">
        <f>TEXT(Table1[[#This Row],[Order Date]],"MMMM")</f>
        <v>December</v>
      </c>
      <c r="O989">
        <f>YEAR(Table1[[#This Row],[Order Date]])</f>
        <v>2025</v>
      </c>
      <c r="P989" t="str">
        <f>"Q"&amp;ROUNDUP(MONTH(Table1[[#This Row],[Order Date]])/3,0)</f>
        <v>Q4</v>
      </c>
      <c r="Q989" s="3">
        <f>Table1[[#This Row],[Profit]]/Table1[[#This Row],[Sales]]</f>
        <v>0.12352444703143189</v>
      </c>
      <c r="R989" t="str">
        <f>IF(Table1[[#This Row],[Sales]]&lt;1000,"LOW",IF(Table1[[#This Row],[Sales]]&lt;5000,"MEDIUM","HIGH"))</f>
        <v>MEDIUM</v>
      </c>
      <c r="S989" s="2">
        <f>Table1[[#This Row],[Discount]]/100</f>
        <v>0</v>
      </c>
    </row>
    <row r="990" spans="1:19" x14ac:dyDescent="0.3">
      <c r="A990">
        <v>10989</v>
      </c>
      <c r="B990" s="1" t="s">
        <v>329</v>
      </c>
      <c r="C990" t="s">
        <v>304</v>
      </c>
      <c r="D990" t="s">
        <v>60</v>
      </c>
      <c r="E990" t="s">
        <v>61</v>
      </c>
      <c r="F990" t="s">
        <v>17</v>
      </c>
      <c r="G990" t="s">
        <v>18</v>
      </c>
      <c r="H990" t="s">
        <v>19</v>
      </c>
      <c r="I990">
        <v>6</v>
      </c>
      <c r="J990">
        <v>2878.5</v>
      </c>
      <c r="K990">
        <v>860.24</v>
      </c>
      <c r="L990">
        <v>5</v>
      </c>
      <c r="M990" t="s">
        <v>40</v>
      </c>
      <c r="N990" t="str">
        <f>TEXT(Table1[[#This Row],[Order Date]],"MMMM")</f>
        <v>August</v>
      </c>
      <c r="O990">
        <f>YEAR(Table1[[#This Row],[Order Date]])</f>
        <v>2025</v>
      </c>
      <c r="P990" t="str">
        <f>"Q"&amp;ROUNDUP(MONTH(Table1[[#This Row],[Order Date]])/3,0)</f>
        <v>Q3</v>
      </c>
      <c r="Q990" s="3">
        <f>Table1[[#This Row],[Profit]]/Table1[[#This Row],[Sales]]</f>
        <v>0.29885009553586939</v>
      </c>
      <c r="R990" t="str">
        <f>IF(Table1[[#This Row],[Sales]]&lt;1000,"LOW",IF(Table1[[#This Row],[Sales]]&lt;5000,"MEDIUM","HIGH"))</f>
        <v>MEDIUM</v>
      </c>
      <c r="S990" s="2">
        <f>Table1[[#This Row],[Discount]]/100</f>
        <v>0.05</v>
      </c>
    </row>
    <row r="991" spans="1:19" x14ac:dyDescent="0.3">
      <c r="A991">
        <v>10990</v>
      </c>
      <c r="B991" s="1" t="s">
        <v>344</v>
      </c>
      <c r="C991" t="s">
        <v>281</v>
      </c>
      <c r="D991" t="s">
        <v>15</v>
      </c>
      <c r="E991" t="s">
        <v>16</v>
      </c>
      <c r="F991" t="s">
        <v>25</v>
      </c>
      <c r="G991" t="s">
        <v>26</v>
      </c>
      <c r="H991" t="s">
        <v>48</v>
      </c>
      <c r="I991">
        <v>2</v>
      </c>
      <c r="J991">
        <v>6289.6</v>
      </c>
      <c r="K991">
        <v>816.34</v>
      </c>
      <c r="L991">
        <v>20</v>
      </c>
      <c r="M991" t="s">
        <v>20</v>
      </c>
      <c r="N991" t="str">
        <f>TEXT(Table1[[#This Row],[Order Date]],"MMMM")</f>
        <v>July</v>
      </c>
      <c r="O991">
        <f>YEAR(Table1[[#This Row],[Order Date]])</f>
        <v>2025</v>
      </c>
      <c r="P991" t="str">
        <f>"Q"&amp;ROUNDUP(MONTH(Table1[[#This Row],[Order Date]])/3,0)</f>
        <v>Q3</v>
      </c>
      <c r="Q991" s="3">
        <f>Table1[[#This Row],[Profit]]/Table1[[#This Row],[Sales]]</f>
        <v>0.12979203764945307</v>
      </c>
      <c r="R991" t="str">
        <f>IF(Table1[[#This Row],[Sales]]&lt;1000,"LOW",IF(Table1[[#This Row],[Sales]]&lt;5000,"MEDIUM","HIGH"))</f>
        <v>HIGH</v>
      </c>
      <c r="S991" s="2">
        <f>Table1[[#This Row],[Discount]]/100</f>
        <v>0.2</v>
      </c>
    </row>
    <row r="992" spans="1:19" x14ac:dyDescent="0.3">
      <c r="A992">
        <v>10991</v>
      </c>
      <c r="B992" s="1" t="s">
        <v>143</v>
      </c>
      <c r="C992" t="s">
        <v>158</v>
      </c>
      <c r="D992" t="s">
        <v>52</v>
      </c>
      <c r="E992" t="s">
        <v>53</v>
      </c>
      <c r="F992" t="s">
        <v>17</v>
      </c>
      <c r="G992" t="s">
        <v>18</v>
      </c>
      <c r="H992" t="s">
        <v>19</v>
      </c>
      <c r="I992">
        <v>5</v>
      </c>
      <c r="J992">
        <v>841.5</v>
      </c>
      <c r="K992">
        <v>211.13</v>
      </c>
      <c r="L992">
        <v>10</v>
      </c>
      <c r="M992" t="s">
        <v>28</v>
      </c>
      <c r="N992" t="str">
        <f>TEXT(Table1[[#This Row],[Order Date]],"MMMM")</f>
        <v>September</v>
      </c>
      <c r="O992">
        <f>YEAR(Table1[[#This Row],[Order Date]])</f>
        <v>2025</v>
      </c>
      <c r="P992" t="str">
        <f>"Q"&amp;ROUNDUP(MONTH(Table1[[#This Row],[Order Date]])/3,0)</f>
        <v>Q3</v>
      </c>
      <c r="Q992" s="3">
        <f>Table1[[#This Row],[Profit]]/Table1[[#This Row],[Sales]]</f>
        <v>0.25089720736779558</v>
      </c>
      <c r="R992" t="str">
        <f>IF(Table1[[#This Row],[Sales]]&lt;1000,"LOW",IF(Table1[[#This Row],[Sales]]&lt;5000,"MEDIUM","HIGH"))</f>
        <v>LOW</v>
      </c>
      <c r="S992" s="2">
        <f>Table1[[#This Row],[Discount]]/100</f>
        <v>0.1</v>
      </c>
    </row>
    <row r="993" spans="1:19" x14ac:dyDescent="0.3">
      <c r="A993">
        <v>10992</v>
      </c>
      <c r="B993" s="1" t="s">
        <v>461</v>
      </c>
      <c r="C993" t="s">
        <v>445</v>
      </c>
      <c r="D993" t="s">
        <v>52</v>
      </c>
      <c r="E993" t="s">
        <v>53</v>
      </c>
      <c r="F993" t="s">
        <v>31</v>
      </c>
      <c r="G993" t="s">
        <v>89</v>
      </c>
      <c r="H993" t="s">
        <v>90</v>
      </c>
      <c r="I993">
        <v>5</v>
      </c>
      <c r="J993">
        <v>3928.5</v>
      </c>
      <c r="K993">
        <v>1014.12</v>
      </c>
      <c r="L993">
        <v>10</v>
      </c>
      <c r="M993" t="s">
        <v>20</v>
      </c>
      <c r="N993" t="str">
        <f>TEXT(Table1[[#This Row],[Order Date]],"MMMM")</f>
        <v>January</v>
      </c>
      <c r="O993">
        <f>YEAR(Table1[[#This Row],[Order Date]])</f>
        <v>2025</v>
      </c>
      <c r="P993" t="str">
        <f>"Q"&amp;ROUNDUP(MONTH(Table1[[#This Row],[Order Date]])/3,0)</f>
        <v>Q1</v>
      </c>
      <c r="Q993" s="3">
        <f>Table1[[#This Row],[Profit]]/Table1[[#This Row],[Sales]]</f>
        <v>0.25814432989690722</v>
      </c>
      <c r="R993" t="str">
        <f>IF(Table1[[#This Row],[Sales]]&lt;1000,"LOW",IF(Table1[[#This Row],[Sales]]&lt;5000,"MEDIUM","HIGH"))</f>
        <v>MEDIUM</v>
      </c>
      <c r="S993" s="2">
        <f>Table1[[#This Row],[Discount]]/100</f>
        <v>0.1</v>
      </c>
    </row>
    <row r="994" spans="1:19" x14ac:dyDescent="0.3">
      <c r="A994">
        <v>10993</v>
      </c>
      <c r="B994" s="1" t="s">
        <v>585</v>
      </c>
      <c r="C994" t="s">
        <v>225</v>
      </c>
      <c r="D994" t="s">
        <v>23</v>
      </c>
      <c r="E994" t="s">
        <v>24</v>
      </c>
      <c r="F994" t="s">
        <v>31</v>
      </c>
      <c r="G994" t="s">
        <v>32</v>
      </c>
      <c r="H994" t="s">
        <v>33</v>
      </c>
      <c r="I994">
        <v>7</v>
      </c>
      <c r="J994">
        <v>6735.4</v>
      </c>
      <c r="K994">
        <v>790.77</v>
      </c>
      <c r="L994">
        <v>15</v>
      </c>
      <c r="M994" t="s">
        <v>28</v>
      </c>
      <c r="N994" t="str">
        <f>TEXT(Table1[[#This Row],[Order Date]],"MMMM")</f>
        <v>August</v>
      </c>
      <c r="O994">
        <f>YEAR(Table1[[#This Row],[Order Date]])</f>
        <v>2025</v>
      </c>
      <c r="P994" t="str">
        <f>"Q"&amp;ROUNDUP(MONTH(Table1[[#This Row],[Order Date]])/3,0)</f>
        <v>Q3</v>
      </c>
      <c r="Q994" s="3">
        <f>Table1[[#This Row],[Profit]]/Table1[[#This Row],[Sales]]</f>
        <v>0.11740505389434926</v>
      </c>
      <c r="R994" t="str">
        <f>IF(Table1[[#This Row],[Sales]]&lt;1000,"LOW",IF(Table1[[#This Row],[Sales]]&lt;5000,"MEDIUM","HIGH"))</f>
        <v>HIGH</v>
      </c>
      <c r="S994" s="2">
        <f>Table1[[#This Row],[Discount]]/100</f>
        <v>0.15</v>
      </c>
    </row>
    <row r="995" spans="1:19" x14ac:dyDescent="0.3">
      <c r="A995">
        <v>10994</v>
      </c>
      <c r="B995" s="1" t="s">
        <v>314</v>
      </c>
      <c r="C995" t="s">
        <v>70</v>
      </c>
      <c r="D995" t="s">
        <v>60</v>
      </c>
      <c r="E995" t="s">
        <v>61</v>
      </c>
      <c r="F995" t="s">
        <v>17</v>
      </c>
      <c r="G995" t="s">
        <v>18</v>
      </c>
      <c r="H995" t="s">
        <v>19</v>
      </c>
      <c r="I995">
        <v>6</v>
      </c>
      <c r="J995">
        <v>17208</v>
      </c>
      <c r="K995">
        <v>4292.96</v>
      </c>
      <c r="L995">
        <v>0</v>
      </c>
      <c r="M995" t="s">
        <v>45</v>
      </c>
      <c r="N995" t="str">
        <f>TEXT(Table1[[#This Row],[Order Date]],"MMMM")</f>
        <v>June</v>
      </c>
      <c r="O995">
        <f>YEAR(Table1[[#This Row],[Order Date]])</f>
        <v>2025</v>
      </c>
      <c r="P995" t="str">
        <f>"Q"&amp;ROUNDUP(MONTH(Table1[[#This Row],[Order Date]])/3,0)</f>
        <v>Q2</v>
      </c>
      <c r="Q995" s="3">
        <f>Table1[[#This Row],[Profit]]/Table1[[#This Row],[Sales]]</f>
        <v>0.24947466294746629</v>
      </c>
      <c r="R995" t="str">
        <f>IF(Table1[[#This Row],[Sales]]&lt;1000,"LOW",IF(Table1[[#This Row],[Sales]]&lt;5000,"MEDIUM","HIGH"))</f>
        <v>HIGH</v>
      </c>
      <c r="S995" s="2">
        <f>Table1[[#This Row],[Discount]]/100</f>
        <v>0</v>
      </c>
    </row>
    <row r="996" spans="1:19" x14ac:dyDescent="0.3">
      <c r="A996">
        <v>10995</v>
      </c>
      <c r="B996" s="1" t="s">
        <v>178</v>
      </c>
      <c r="C996" t="s">
        <v>94</v>
      </c>
      <c r="D996" t="s">
        <v>66</v>
      </c>
      <c r="E996" t="s">
        <v>16</v>
      </c>
      <c r="F996" t="s">
        <v>17</v>
      </c>
      <c r="G996" t="s">
        <v>43</v>
      </c>
      <c r="H996" t="s">
        <v>44</v>
      </c>
      <c r="I996">
        <v>3</v>
      </c>
      <c r="J996">
        <v>10767</v>
      </c>
      <c r="K996">
        <v>1377.4</v>
      </c>
      <c r="L996">
        <v>0</v>
      </c>
      <c r="M996" t="s">
        <v>49</v>
      </c>
      <c r="N996" t="str">
        <f>TEXT(Table1[[#This Row],[Order Date]],"MMMM")</f>
        <v>January</v>
      </c>
      <c r="O996">
        <f>YEAR(Table1[[#This Row],[Order Date]])</f>
        <v>2025</v>
      </c>
      <c r="P996" t="str">
        <f>"Q"&amp;ROUNDUP(MONTH(Table1[[#This Row],[Order Date]])/3,0)</f>
        <v>Q1</v>
      </c>
      <c r="Q996" s="3">
        <f>Table1[[#This Row],[Profit]]/Table1[[#This Row],[Sales]]</f>
        <v>0.12792792792792793</v>
      </c>
      <c r="R996" t="str">
        <f>IF(Table1[[#This Row],[Sales]]&lt;1000,"LOW",IF(Table1[[#This Row],[Sales]]&lt;5000,"MEDIUM","HIGH"))</f>
        <v>HIGH</v>
      </c>
      <c r="S996" s="2">
        <f>Table1[[#This Row],[Discount]]/100</f>
        <v>0</v>
      </c>
    </row>
    <row r="997" spans="1:19" x14ac:dyDescent="0.3">
      <c r="A997">
        <v>10996</v>
      </c>
      <c r="B997" s="1" t="s">
        <v>477</v>
      </c>
      <c r="C997" t="s">
        <v>162</v>
      </c>
      <c r="D997" t="s">
        <v>66</v>
      </c>
      <c r="E997" t="s">
        <v>16</v>
      </c>
      <c r="F997" t="s">
        <v>25</v>
      </c>
      <c r="G997" t="s">
        <v>26</v>
      </c>
      <c r="H997" t="s">
        <v>48</v>
      </c>
      <c r="I997">
        <v>1</v>
      </c>
      <c r="J997">
        <v>4334.8500000000004</v>
      </c>
      <c r="K997">
        <v>1137.8</v>
      </c>
      <c r="L997">
        <v>5</v>
      </c>
      <c r="M997" t="s">
        <v>45</v>
      </c>
      <c r="N997" t="str">
        <f>TEXT(Table1[[#This Row],[Order Date]],"MMMM")</f>
        <v>September</v>
      </c>
      <c r="O997">
        <f>YEAR(Table1[[#This Row],[Order Date]])</f>
        <v>2025</v>
      </c>
      <c r="P997" t="str">
        <f>"Q"&amp;ROUNDUP(MONTH(Table1[[#This Row],[Order Date]])/3,0)</f>
        <v>Q3</v>
      </c>
      <c r="Q997" s="3">
        <f>Table1[[#This Row],[Profit]]/Table1[[#This Row],[Sales]]</f>
        <v>0.26247736369193858</v>
      </c>
      <c r="R997" t="str">
        <f>IF(Table1[[#This Row],[Sales]]&lt;1000,"LOW",IF(Table1[[#This Row],[Sales]]&lt;5000,"MEDIUM","HIGH"))</f>
        <v>MEDIUM</v>
      </c>
      <c r="S997" s="2">
        <f>Table1[[#This Row],[Discount]]/100</f>
        <v>0.05</v>
      </c>
    </row>
    <row r="998" spans="1:19" x14ac:dyDescent="0.3">
      <c r="A998">
        <v>10997</v>
      </c>
      <c r="B998" s="1" t="s">
        <v>438</v>
      </c>
      <c r="C998" t="s">
        <v>300</v>
      </c>
      <c r="D998" t="s">
        <v>52</v>
      </c>
      <c r="E998" t="s">
        <v>53</v>
      </c>
      <c r="F998" t="s">
        <v>17</v>
      </c>
      <c r="G998" t="s">
        <v>18</v>
      </c>
      <c r="H998" t="s">
        <v>19</v>
      </c>
      <c r="I998">
        <v>6</v>
      </c>
      <c r="J998">
        <v>8124.3</v>
      </c>
      <c r="K998">
        <v>1804.25</v>
      </c>
      <c r="L998">
        <v>15</v>
      </c>
      <c r="M998" t="s">
        <v>45</v>
      </c>
      <c r="N998" t="str">
        <f>TEXT(Table1[[#This Row],[Order Date]],"MMMM")</f>
        <v>September</v>
      </c>
      <c r="O998">
        <f>YEAR(Table1[[#This Row],[Order Date]])</f>
        <v>2025</v>
      </c>
      <c r="P998" t="str">
        <f>"Q"&amp;ROUNDUP(MONTH(Table1[[#This Row],[Order Date]])/3,0)</f>
        <v>Q3</v>
      </c>
      <c r="Q998" s="3">
        <f>Table1[[#This Row],[Profit]]/Table1[[#This Row],[Sales]]</f>
        <v>0.22208067156555025</v>
      </c>
      <c r="R998" t="str">
        <f>IF(Table1[[#This Row],[Sales]]&lt;1000,"LOW",IF(Table1[[#This Row],[Sales]]&lt;5000,"MEDIUM","HIGH"))</f>
        <v>HIGH</v>
      </c>
      <c r="S998" s="2">
        <f>Table1[[#This Row],[Discount]]/100</f>
        <v>0.15</v>
      </c>
    </row>
    <row r="999" spans="1:19" x14ac:dyDescent="0.3">
      <c r="A999">
        <v>10998</v>
      </c>
      <c r="B999" s="1" t="s">
        <v>472</v>
      </c>
      <c r="C999" t="s">
        <v>548</v>
      </c>
      <c r="D999" t="s">
        <v>36</v>
      </c>
      <c r="E999" t="s">
        <v>37</v>
      </c>
      <c r="F999" t="s">
        <v>31</v>
      </c>
      <c r="G999" t="s">
        <v>32</v>
      </c>
      <c r="H999" t="s">
        <v>33</v>
      </c>
      <c r="I999">
        <v>6</v>
      </c>
      <c r="J999">
        <v>13644</v>
      </c>
      <c r="K999">
        <v>2897.6</v>
      </c>
      <c r="L999">
        <v>0</v>
      </c>
      <c r="M999" t="s">
        <v>40</v>
      </c>
      <c r="N999" t="str">
        <f>TEXT(Table1[[#This Row],[Order Date]],"MMMM")</f>
        <v>October</v>
      </c>
      <c r="O999">
        <f>YEAR(Table1[[#This Row],[Order Date]])</f>
        <v>2025</v>
      </c>
      <c r="P999" t="str">
        <f>"Q"&amp;ROUNDUP(MONTH(Table1[[#This Row],[Order Date]])/3,0)</f>
        <v>Q4</v>
      </c>
      <c r="Q999" s="3">
        <f>Table1[[#This Row],[Profit]]/Table1[[#This Row],[Sales]]</f>
        <v>0.21237173849311053</v>
      </c>
      <c r="R999" t="str">
        <f>IF(Table1[[#This Row],[Sales]]&lt;1000,"LOW",IF(Table1[[#This Row],[Sales]]&lt;5000,"MEDIUM","HIGH"))</f>
        <v>HIGH</v>
      </c>
      <c r="S999" s="2">
        <f>Table1[[#This Row],[Discount]]/100</f>
        <v>0</v>
      </c>
    </row>
    <row r="1000" spans="1:19" x14ac:dyDescent="0.3">
      <c r="A1000">
        <v>10999</v>
      </c>
      <c r="B1000" s="1" t="s">
        <v>229</v>
      </c>
      <c r="C1000" t="s">
        <v>327</v>
      </c>
      <c r="D1000" t="s">
        <v>56</v>
      </c>
      <c r="E1000" t="s">
        <v>57</v>
      </c>
      <c r="F1000" t="s">
        <v>25</v>
      </c>
      <c r="G1000" t="s">
        <v>95</v>
      </c>
      <c r="H1000" t="s">
        <v>96</v>
      </c>
      <c r="I1000">
        <v>4</v>
      </c>
      <c r="J1000">
        <v>15252</v>
      </c>
      <c r="K1000">
        <v>3450.38</v>
      </c>
      <c r="L1000">
        <v>0</v>
      </c>
      <c r="M1000" t="s">
        <v>20</v>
      </c>
      <c r="N1000" t="str">
        <f>TEXT(Table1[[#This Row],[Order Date]],"MMMM")</f>
        <v>July</v>
      </c>
      <c r="O1000">
        <f>YEAR(Table1[[#This Row],[Order Date]])</f>
        <v>2025</v>
      </c>
      <c r="P1000" t="str">
        <f>"Q"&amp;ROUNDUP(MONTH(Table1[[#This Row],[Order Date]])/3,0)</f>
        <v>Q3</v>
      </c>
      <c r="Q1000" s="3">
        <f>Table1[[#This Row],[Profit]]/Table1[[#This Row],[Sales]]</f>
        <v>0.22622475740886441</v>
      </c>
      <c r="R1000" t="str">
        <f>IF(Table1[[#This Row],[Sales]]&lt;1000,"LOW",IF(Table1[[#This Row],[Sales]]&lt;5000,"MEDIUM","HIGH"))</f>
        <v>HIGH</v>
      </c>
      <c r="S1000" s="2">
        <f>Table1[[#This Row],[Discount]]/100</f>
        <v>0</v>
      </c>
    </row>
    <row r="1001" spans="1:19" x14ac:dyDescent="0.3">
      <c r="A1001">
        <v>11000</v>
      </c>
      <c r="B1001" s="1" t="s">
        <v>408</v>
      </c>
      <c r="C1001" t="s">
        <v>548</v>
      </c>
      <c r="D1001" t="s">
        <v>36</v>
      </c>
      <c r="E1001" t="s">
        <v>37</v>
      </c>
      <c r="F1001" t="s">
        <v>25</v>
      </c>
      <c r="G1001" t="s">
        <v>95</v>
      </c>
      <c r="H1001" t="s">
        <v>96</v>
      </c>
      <c r="I1001">
        <v>2</v>
      </c>
      <c r="J1001">
        <v>1690.2</v>
      </c>
      <c r="K1001">
        <v>350.42</v>
      </c>
      <c r="L1001">
        <v>10</v>
      </c>
      <c r="M1001" t="s">
        <v>20</v>
      </c>
      <c r="N1001" t="str">
        <f>TEXT(Table1[[#This Row],[Order Date]],"MMMM")</f>
        <v>December</v>
      </c>
      <c r="O1001">
        <f>YEAR(Table1[[#This Row],[Order Date]])</f>
        <v>2025</v>
      </c>
      <c r="P1001" t="str">
        <f>"Q"&amp;ROUNDUP(MONTH(Table1[[#This Row],[Order Date]])/3,0)</f>
        <v>Q4</v>
      </c>
      <c r="Q1001" s="3">
        <f>Table1[[#This Row],[Profit]]/Table1[[#This Row],[Sales]]</f>
        <v>0.20732457697313927</v>
      </c>
      <c r="R1001" t="str">
        <f>IF(Table1[[#This Row],[Sales]]&lt;1000,"LOW",IF(Table1[[#This Row],[Sales]]&lt;5000,"MEDIUM","HIGH"))</f>
        <v>MEDIUM</v>
      </c>
      <c r="S1001" s="2">
        <f>Table1[[#This Row],[Discount]]/100</f>
        <v>0.1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3562-0640-49A5-86B3-3887B06FCB72}">
  <dimension ref="A3:B7"/>
  <sheetViews>
    <sheetView workbookViewId="0">
      <selection activeCell="A3" sqref="A3:B7"/>
    </sheetView>
  </sheetViews>
  <sheetFormatPr defaultRowHeight="14.4" x14ac:dyDescent="0.3"/>
  <cols>
    <col min="1" max="1" width="13.109375" bestFit="1" customWidth="1"/>
    <col min="2" max="2" width="15.6640625" bestFit="1" customWidth="1"/>
  </cols>
  <sheetData>
    <row r="3" spans="1:2" x14ac:dyDescent="0.3">
      <c r="A3" s="5" t="s">
        <v>592</v>
      </c>
      <c r="B3" t="s">
        <v>594</v>
      </c>
    </row>
    <row r="4" spans="1:2" x14ac:dyDescent="0.3">
      <c r="A4" s="6" t="s">
        <v>17</v>
      </c>
      <c r="B4" s="7">
        <v>3660059.8</v>
      </c>
    </row>
    <row r="5" spans="1:2" x14ac:dyDescent="0.3">
      <c r="A5" s="6" t="s">
        <v>31</v>
      </c>
      <c r="B5" s="7">
        <v>3905198.9499999988</v>
      </c>
    </row>
    <row r="6" spans="1:2" x14ac:dyDescent="0.3">
      <c r="A6" s="6" t="s">
        <v>25</v>
      </c>
      <c r="B6" s="7">
        <v>3506631.2499999981</v>
      </c>
    </row>
    <row r="7" spans="1:2" x14ac:dyDescent="0.3">
      <c r="A7" s="6" t="s">
        <v>593</v>
      </c>
      <c r="B7" s="7">
        <v>11071889.999999996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E4A2-E4F2-432D-B348-6117CECCA577}">
  <dimension ref="A3:B16"/>
  <sheetViews>
    <sheetView tabSelected="1"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3" spans="1:2" x14ac:dyDescent="0.3">
      <c r="A3" s="5" t="s">
        <v>592</v>
      </c>
      <c r="B3" t="s">
        <v>594</v>
      </c>
    </row>
    <row r="4" spans="1:2" x14ac:dyDescent="0.3">
      <c r="A4" s="6" t="s">
        <v>595</v>
      </c>
      <c r="B4" s="7">
        <v>935864.60000000033</v>
      </c>
    </row>
    <row r="5" spans="1:2" x14ac:dyDescent="0.3">
      <c r="A5" s="6" t="s">
        <v>596</v>
      </c>
      <c r="B5" s="7">
        <v>982750.40000000026</v>
      </c>
    </row>
    <row r="6" spans="1:2" x14ac:dyDescent="0.3">
      <c r="A6" s="6" t="s">
        <v>597</v>
      </c>
      <c r="B6" s="7">
        <v>1097587.2000000004</v>
      </c>
    </row>
    <row r="7" spans="1:2" x14ac:dyDescent="0.3">
      <c r="A7" s="6" t="s">
        <v>598</v>
      </c>
      <c r="B7" s="7">
        <v>890304.50000000012</v>
      </c>
    </row>
    <row r="8" spans="1:2" x14ac:dyDescent="0.3">
      <c r="A8" s="6" t="s">
        <v>599</v>
      </c>
      <c r="B8" s="7">
        <v>864759.65000000014</v>
      </c>
    </row>
    <row r="9" spans="1:2" x14ac:dyDescent="0.3">
      <c r="A9" s="6" t="s">
        <v>600</v>
      </c>
      <c r="B9" s="7">
        <v>732494.5</v>
      </c>
    </row>
    <row r="10" spans="1:2" x14ac:dyDescent="0.3">
      <c r="A10" s="6" t="s">
        <v>601</v>
      </c>
      <c r="B10" s="7">
        <v>1013635.1000000002</v>
      </c>
    </row>
    <row r="11" spans="1:2" x14ac:dyDescent="0.3">
      <c r="A11" s="6" t="s">
        <v>602</v>
      </c>
      <c r="B11" s="7">
        <v>855462.30000000016</v>
      </c>
    </row>
    <row r="12" spans="1:2" x14ac:dyDescent="0.3">
      <c r="A12" s="6" t="s">
        <v>603</v>
      </c>
      <c r="B12" s="7">
        <v>1043145.8499999997</v>
      </c>
    </row>
    <row r="13" spans="1:2" x14ac:dyDescent="0.3">
      <c r="A13" s="6" t="s">
        <v>604</v>
      </c>
      <c r="B13" s="7">
        <v>893165.54999999993</v>
      </c>
    </row>
    <row r="14" spans="1:2" x14ac:dyDescent="0.3">
      <c r="A14" s="6" t="s">
        <v>605</v>
      </c>
      <c r="B14" s="7">
        <v>970811.35</v>
      </c>
    </row>
    <row r="15" spans="1:2" x14ac:dyDescent="0.3">
      <c r="A15" s="6" t="s">
        <v>606</v>
      </c>
      <c r="B15" s="7">
        <v>791909</v>
      </c>
    </row>
    <row r="16" spans="1:2" x14ac:dyDescent="0.3">
      <c r="A16" s="6" t="s">
        <v>593</v>
      </c>
      <c r="B16" s="7">
        <v>11071890.000000002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E81B-4A46-4903-8C2C-2C4D25A58F5C}">
  <dimension ref="A3:B7"/>
  <sheetViews>
    <sheetView workbookViewId="0">
      <selection activeCell="A3" sqref="A3:B7"/>
    </sheetView>
  </sheetViews>
  <sheetFormatPr defaultRowHeight="14.4" x14ac:dyDescent="0.3"/>
  <cols>
    <col min="1" max="1" width="13.109375" bestFit="1" customWidth="1"/>
    <col min="2" max="2" width="14.109375" bestFit="1" customWidth="1"/>
  </cols>
  <sheetData>
    <row r="3" spans="1:2" x14ac:dyDescent="0.3">
      <c r="A3" s="5" t="s">
        <v>592</v>
      </c>
      <c r="B3" t="s">
        <v>607</v>
      </c>
    </row>
    <row r="4" spans="1:2" x14ac:dyDescent="0.3">
      <c r="A4" s="6" t="s">
        <v>17</v>
      </c>
      <c r="B4" s="8">
        <v>732874.46</v>
      </c>
    </row>
    <row r="5" spans="1:2" x14ac:dyDescent="0.3">
      <c r="A5" s="6" t="s">
        <v>31</v>
      </c>
      <c r="B5" s="8">
        <v>778754.41999999993</v>
      </c>
    </row>
    <row r="6" spans="1:2" x14ac:dyDescent="0.3">
      <c r="A6" s="6" t="s">
        <v>25</v>
      </c>
      <c r="B6" s="8">
        <v>662398.96000000031</v>
      </c>
    </row>
    <row r="7" spans="1:2" x14ac:dyDescent="0.3">
      <c r="A7" s="6" t="s">
        <v>593</v>
      </c>
      <c r="B7" s="8">
        <v>2174027.8400000003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E99D-E233-42AC-84EA-534196DABCE1}">
  <dimension ref="A3:B12"/>
  <sheetViews>
    <sheetView workbookViewId="0">
      <selection activeCell="I29" sqref="I29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3" spans="1:2" x14ac:dyDescent="0.3">
      <c r="A3" s="5" t="s">
        <v>592</v>
      </c>
      <c r="B3" t="s">
        <v>594</v>
      </c>
    </row>
    <row r="4" spans="1:2" x14ac:dyDescent="0.3">
      <c r="A4" s="6" t="s">
        <v>52</v>
      </c>
      <c r="B4" s="7">
        <v>1601339.4000000001</v>
      </c>
    </row>
    <row r="5" spans="1:2" x14ac:dyDescent="0.3">
      <c r="A5" s="6" t="s">
        <v>60</v>
      </c>
      <c r="B5" s="7">
        <v>1525575.7000000002</v>
      </c>
    </row>
    <row r="6" spans="1:2" x14ac:dyDescent="0.3">
      <c r="A6" s="6" t="s">
        <v>23</v>
      </c>
      <c r="B6" s="7">
        <v>1510597.3499999999</v>
      </c>
    </row>
    <row r="7" spans="1:2" x14ac:dyDescent="0.3">
      <c r="A7" s="6" t="s">
        <v>74</v>
      </c>
      <c r="B7" s="7">
        <v>1068791.8500000003</v>
      </c>
    </row>
    <row r="8" spans="1:2" x14ac:dyDescent="0.3">
      <c r="A8" s="6" t="s">
        <v>56</v>
      </c>
      <c r="B8" s="7">
        <v>1312160.9499999997</v>
      </c>
    </row>
    <row r="9" spans="1:2" x14ac:dyDescent="0.3">
      <c r="A9" s="6" t="s">
        <v>36</v>
      </c>
      <c r="B9" s="7">
        <v>1305628.5999999999</v>
      </c>
    </row>
    <row r="10" spans="1:2" x14ac:dyDescent="0.3">
      <c r="A10" s="6" t="s">
        <v>66</v>
      </c>
      <c r="B10" s="7">
        <v>1499511.4000000001</v>
      </c>
    </row>
    <row r="11" spans="1:2" x14ac:dyDescent="0.3">
      <c r="A11" s="6" t="s">
        <v>15</v>
      </c>
      <c r="B11" s="7">
        <v>1248284.7500000007</v>
      </c>
    </row>
    <row r="12" spans="1:2" x14ac:dyDescent="0.3">
      <c r="A12" s="6" t="s">
        <v>593</v>
      </c>
      <c r="B12" s="7">
        <v>11071890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F718-F391-42D1-A9E5-83FBA892118A}">
  <dimension ref="A3:B14"/>
  <sheetViews>
    <sheetView topLeftCell="A3" workbookViewId="0">
      <selection activeCell="B4" sqref="B4:B13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5" t="s">
        <v>592</v>
      </c>
      <c r="B3" t="s">
        <v>594</v>
      </c>
    </row>
    <row r="4" spans="1:2" x14ac:dyDescent="0.3">
      <c r="A4" s="6" t="s">
        <v>80</v>
      </c>
      <c r="B4" s="7">
        <v>113940.19999999998</v>
      </c>
    </row>
    <row r="5" spans="1:2" x14ac:dyDescent="0.3">
      <c r="A5" s="6" t="s">
        <v>297</v>
      </c>
      <c r="B5" s="7">
        <v>117024.35</v>
      </c>
    </row>
    <row r="6" spans="1:2" x14ac:dyDescent="0.3">
      <c r="A6" s="6" t="s">
        <v>308</v>
      </c>
      <c r="B6" s="7">
        <v>120920.35</v>
      </c>
    </row>
    <row r="7" spans="1:2" x14ac:dyDescent="0.3">
      <c r="A7" s="6" t="s">
        <v>231</v>
      </c>
      <c r="B7" s="7">
        <v>127017.05</v>
      </c>
    </row>
    <row r="8" spans="1:2" x14ac:dyDescent="0.3">
      <c r="A8" s="6" t="s">
        <v>98</v>
      </c>
      <c r="B8" s="7">
        <v>128997.1</v>
      </c>
    </row>
    <row r="9" spans="1:2" x14ac:dyDescent="0.3">
      <c r="A9" s="6" t="s">
        <v>51</v>
      </c>
      <c r="B9" s="7">
        <v>129632.84999999999</v>
      </c>
    </row>
    <row r="10" spans="1:2" x14ac:dyDescent="0.3">
      <c r="A10" s="6" t="s">
        <v>68</v>
      </c>
      <c r="B10" s="7">
        <v>135515.75</v>
      </c>
    </row>
    <row r="11" spans="1:2" x14ac:dyDescent="0.3">
      <c r="A11" s="6" t="s">
        <v>445</v>
      </c>
      <c r="B11" s="7">
        <v>138957.15000000002</v>
      </c>
    </row>
    <row r="12" spans="1:2" x14ac:dyDescent="0.3">
      <c r="A12" s="6" t="s">
        <v>88</v>
      </c>
      <c r="B12" s="7">
        <v>150144.20000000001</v>
      </c>
    </row>
    <row r="13" spans="1:2" x14ac:dyDescent="0.3">
      <c r="A13" s="6" t="s">
        <v>115</v>
      </c>
      <c r="B13" s="7">
        <v>157561.00000000003</v>
      </c>
    </row>
    <row r="14" spans="1:2" x14ac:dyDescent="0.3">
      <c r="A14" s="6" t="s">
        <v>593</v>
      </c>
      <c r="B14" s="7">
        <v>1319710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466F-23F3-4F1C-AB57-A7E280C5B9F6}">
  <dimension ref="A3:B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14.5546875" bestFit="1" customWidth="1"/>
  </cols>
  <sheetData>
    <row r="3" spans="1:2" x14ac:dyDescent="0.3">
      <c r="A3" s="5" t="s">
        <v>592</v>
      </c>
      <c r="B3" t="s">
        <v>608</v>
      </c>
    </row>
    <row r="4" spans="1:2" x14ac:dyDescent="0.3">
      <c r="A4" s="6" t="s">
        <v>45</v>
      </c>
      <c r="B4" s="4">
        <v>2199546</v>
      </c>
    </row>
    <row r="5" spans="1:2" x14ac:dyDescent="0.3">
      <c r="A5" s="6" t="s">
        <v>40</v>
      </c>
      <c r="B5" s="4">
        <v>2029689</v>
      </c>
    </row>
    <row r="6" spans="1:2" x14ac:dyDescent="0.3">
      <c r="A6" s="6" t="s">
        <v>28</v>
      </c>
      <c r="B6" s="4">
        <v>2163493</v>
      </c>
    </row>
    <row r="7" spans="1:2" x14ac:dyDescent="0.3">
      <c r="A7" s="6" t="s">
        <v>20</v>
      </c>
      <c r="B7" s="4">
        <v>2106979</v>
      </c>
    </row>
    <row r="8" spans="1:2" x14ac:dyDescent="0.3">
      <c r="A8" s="6" t="s">
        <v>49</v>
      </c>
      <c r="B8" s="4">
        <v>2000793</v>
      </c>
    </row>
    <row r="9" spans="1:2" x14ac:dyDescent="0.3">
      <c r="A9" s="6" t="s">
        <v>593</v>
      </c>
      <c r="B9" s="4">
        <v>10500500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9388-1DAF-4028-AC36-D9D3A9DC6CFA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592</v>
      </c>
      <c r="B3" t="s">
        <v>594</v>
      </c>
    </row>
    <row r="4" spans="1:2" x14ac:dyDescent="0.3">
      <c r="A4" s="6">
        <v>0</v>
      </c>
      <c r="B4" s="4">
        <v>2559180</v>
      </c>
    </row>
    <row r="5" spans="1:2" x14ac:dyDescent="0.3">
      <c r="A5" s="6">
        <v>5</v>
      </c>
      <c r="B5" s="4">
        <v>2398311.0999999987</v>
      </c>
    </row>
    <row r="6" spans="1:2" x14ac:dyDescent="0.3">
      <c r="A6" s="6">
        <v>10</v>
      </c>
      <c r="B6" s="4">
        <v>2050054.2000000007</v>
      </c>
    </row>
    <row r="7" spans="1:2" x14ac:dyDescent="0.3">
      <c r="A7" s="6">
        <v>15</v>
      </c>
      <c r="B7" s="4">
        <v>2022263.9</v>
      </c>
    </row>
    <row r="8" spans="1:2" x14ac:dyDescent="0.3">
      <c r="A8" s="6">
        <v>20</v>
      </c>
      <c r="B8" s="4">
        <v>2042080.8000000003</v>
      </c>
    </row>
    <row r="9" spans="1:2" x14ac:dyDescent="0.3">
      <c r="A9" s="6" t="s">
        <v>593</v>
      </c>
      <c r="B9" s="4">
        <v>11071890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RetailSales</vt:lpstr>
      <vt:lpstr>Sales by Category</vt:lpstr>
      <vt:lpstr>Monthly Sales</vt:lpstr>
      <vt:lpstr>Profit Analysis</vt:lpstr>
      <vt:lpstr>Sales by City </vt:lpstr>
      <vt:lpstr>Top 10 Customers by Sales</vt:lpstr>
      <vt:lpstr>Payment mode analysis</vt:lpstr>
      <vt:lpstr>Discount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prajwalvalmiki12@gmail.com</cp:lastModifiedBy>
  <dcterms:created xsi:type="dcterms:W3CDTF">2026-06-27T16:44:44Z</dcterms:created>
  <dcterms:modified xsi:type="dcterms:W3CDTF">2026-06-27T19:31:23Z</dcterms:modified>
</cp:coreProperties>
</file>